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OOL" sheetId="1" state="visible" r:id="rId1"/>
    <sheet xmlns:r="http://schemas.openxmlformats.org/officeDocument/2006/relationships" name="Sheet1" sheetId="2" state="visible" r:id="rId2"/>
  </sheets>
  <externalReferences>
    <externalReference xmlns:r="http://schemas.openxmlformats.org/officeDocument/2006/relationships" r:id="rId3"/>
  </externalReferences>
  <definedNames>
    <definedName name="BM_1__1">'[1]sample forms'!#REF!</definedName>
    <definedName name="_xlnm.Print_Titles" localSheetId="0">'POOL'!$1:$11</definedName>
    <definedName name="_xlnm.Print_Area" localSheetId="0">'POOL'!$A$1:$I$180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₱#,##0.00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1"/>
      <sz val="9"/>
    </font>
    <font>
      <name val="Arial Narrow"/>
      <family val="2"/>
      <color theme="1"/>
      <sz val="9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 Narrow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1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color rgb="FF000000"/>
      <sz val="9"/>
    </font>
    <font>
      <name val="Arial"/>
      <family val="2"/>
      <b val="1"/>
      <color theme="1"/>
      <sz val="10"/>
      <u val="single"/>
    </font>
    <font>
      <name val="Arial"/>
      <family val="2"/>
      <color indexed="8"/>
      <sz val="10"/>
    </font>
    <font>
      <name val="Arial"/>
      <family val="2"/>
      <b val="1"/>
      <sz val="9"/>
    </font>
    <font>
      <name val="Arial"/>
      <family val="2"/>
      <color indexed="8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2">
    <xf numFmtId="0" fontId="1" fillId="0" borderId="0"/>
    <xf numFmtId="43" fontId="1" fillId="0" borderId="0"/>
    <xf numFmtId="0" fontId="1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1" fillId="0" borderId="0"/>
    <xf numFmtId="0" fontId="2" fillId="0" borderId="0"/>
    <xf numFmtId="43" fontId="1" fillId="0" borderId="0"/>
    <xf numFmtId="43" fontId="2" fillId="0" borderId="0"/>
    <xf numFmtId="43" fontId="1" fillId="0" borderId="0"/>
  </cellStyleXfs>
  <cellXfs count="154">
    <xf numFmtId="0" fontId="0" fillId="0" borderId="0" pivotButton="0" quotePrefix="0" xfId="0"/>
    <xf numFmtId="164" fontId="4" fillId="0" borderId="0" pivotButton="0" quotePrefix="0" xfId="1"/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1">
      <alignment vertical="center" wrapText="1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1">
      <alignment horizontal="center" vertical="center" wrapText="1"/>
    </xf>
    <xf numFmtId="164" fontId="4" fillId="0" borderId="0" applyAlignment="1" pivotButton="0" quotePrefix="0" xfId="1">
      <alignment vertical="center" wrapText="1"/>
    </xf>
    <xf numFmtId="164" fontId="3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1">
      <alignment vertical="center" wrapText="1"/>
    </xf>
    <xf numFmtId="164" fontId="6" fillId="0" borderId="4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164" fontId="8" fillId="0" borderId="0" applyAlignment="1" pivotButton="0" quotePrefix="0" xfId="1">
      <alignment vertical="center" wrapText="1"/>
    </xf>
    <xf numFmtId="164" fontId="5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164" fontId="9" fillId="0" borderId="0" pivotButton="0" quotePrefix="0" xfId="1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wrapText="1"/>
    </xf>
    <xf numFmtId="164" fontId="9" fillId="0" borderId="0" applyAlignment="1" pivotButton="0" quotePrefix="0" xfId="1">
      <alignment horizontal="center" vertical="center"/>
    </xf>
    <xf numFmtId="0" fontId="11" fillId="0" borderId="0" pivotButton="0" quotePrefix="0" xfId="0"/>
    <xf numFmtId="164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0">
      <alignment horizontal="center" vertical="center"/>
    </xf>
    <xf numFmtId="164" fontId="11" fillId="0" borderId="0" pivotButton="0" quotePrefix="0" xfId="1"/>
    <xf numFmtId="0" fontId="12" fillId="0" borderId="0" applyAlignment="1" pivotButton="0" quotePrefix="0" xfId="0">
      <alignment horizontal="left" vertical="center"/>
    </xf>
    <xf numFmtId="164" fontId="12" fillId="0" borderId="1" applyAlignment="1" pivotButton="0" quotePrefix="0" xfId="1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4" fontId="14" fillId="0" borderId="1" applyAlignment="1" applyProtection="1" pivotButton="0" quotePrefix="0" xfId="1">
      <alignment horizontal="left" vertical="center"/>
      <protection locked="0" hidden="0"/>
    </xf>
    <xf numFmtId="164" fontId="11" fillId="0" borderId="1" applyAlignment="1" pivotButton="0" quotePrefix="0" xfId="0">
      <alignment vertical="center" wrapText="1"/>
    </xf>
    <xf numFmtId="164" fontId="14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164" fontId="15" fillId="3" borderId="1" applyAlignment="1" pivotButton="0" quotePrefix="0" xfId="5">
      <alignment horizontal="right" vertical="center"/>
    </xf>
    <xf numFmtId="164" fontId="9" fillId="3" borderId="1" applyAlignment="1" pivotButton="0" quotePrefix="0" xfId="1">
      <alignment horizontal="center" vertical="center"/>
    </xf>
    <xf numFmtId="0" fontId="9" fillId="3" borderId="1" applyAlignment="1" pivotButton="0" quotePrefix="0" xfId="5">
      <alignment horizontal="center" vertical="center"/>
    </xf>
    <xf numFmtId="164" fontId="9" fillId="3" borderId="1" applyAlignment="1" applyProtection="1" pivotButton="0" quotePrefix="0" xfId="1">
      <alignment horizontal="center" vertical="center"/>
      <protection locked="0" hidden="0"/>
    </xf>
    <xf numFmtId="164" fontId="10" fillId="3" borderId="1" applyAlignment="1" pivotButton="0" quotePrefix="0" xfId="0">
      <alignment vertical="center" wrapText="1"/>
    </xf>
    <xf numFmtId="164" fontId="9" fillId="3" borderId="1" applyAlignment="1" applyProtection="1" pivotButton="0" quotePrefix="0" xfId="1">
      <alignment horizontal="left" vertical="center"/>
      <protection locked="0" hidden="0"/>
    </xf>
    <xf numFmtId="0" fontId="12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1">
      <alignment vertical="center" wrapText="1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 indent="2"/>
    </xf>
    <xf numFmtId="164" fontId="12" fillId="0" borderId="1" applyAlignment="1" pivotButton="0" quotePrefix="0" xfId="1">
      <alignment vertical="center" wrapText="1"/>
    </xf>
    <xf numFmtId="0" fontId="16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vertical="top"/>
    </xf>
    <xf numFmtId="164" fontId="11" fillId="0" borderId="1" applyAlignment="1" pivotButton="0" quotePrefix="0" xfId="1">
      <alignment vertical="center" wrapText="1"/>
    </xf>
    <xf numFmtId="164" fontId="11" fillId="0" borderId="1" applyAlignment="1" pivotButton="0" quotePrefix="0" xfId="1">
      <alignment horizontal="center" vertical="center" wrapText="1"/>
    </xf>
    <xf numFmtId="15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14" fillId="0" borderId="1" applyAlignment="1" applyProtection="1" pivotButton="0" quotePrefix="0" xfId="1">
      <alignment horizontal="center" vertical="center"/>
      <protection locked="0" hidden="0"/>
    </xf>
    <xf numFmtId="164" fontId="11" fillId="0" borderId="1" applyAlignment="1" pivotButton="0" quotePrefix="0" xfId="1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64" fontId="11" fillId="0" borderId="2" applyAlignment="1" pivotButton="0" quotePrefix="0" xfId="1">
      <alignment horizontal="center" vertical="center" wrapText="1"/>
    </xf>
    <xf numFmtId="49" fontId="0" fillId="5" borderId="1" applyAlignment="1" pivotButton="0" quotePrefix="0" xfId="0">
      <alignment horizontal="left"/>
    </xf>
    <xf numFmtId="49" fontId="18" fillId="5" borderId="1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9" fontId="11" fillId="5" borderId="1" pivotButton="0" quotePrefix="0" xfId="0"/>
    <xf numFmtId="49" fontId="11" fillId="5" borderId="1" applyAlignment="1" pivotButton="0" quotePrefix="0" xfId="0">
      <alignment wrapText="1"/>
    </xf>
    <xf numFmtId="164" fontId="19" fillId="0" borderId="1" applyAlignment="1" pivotButton="0" quotePrefix="0" xfId="5">
      <alignment horizontal="right" vertical="center"/>
    </xf>
    <xf numFmtId="164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5">
      <alignment horizontal="center" vertical="center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4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/>
    </xf>
    <xf numFmtId="164" fontId="11" fillId="4" borderId="1" applyAlignment="1" pivotButton="0" quotePrefix="0" xfId="1">
      <alignment vertical="center" wrapText="1"/>
    </xf>
    <xf numFmtId="164" fontId="12" fillId="4" borderId="1" applyAlignment="1" pivotButton="0" quotePrefix="0" xfId="0">
      <alignment vertical="center" wrapText="1"/>
    </xf>
    <xf numFmtId="164" fontId="12" fillId="3" borderId="1" applyAlignment="1" pivotButton="0" quotePrefix="0" xfId="0">
      <alignment vertical="center" wrapText="1"/>
    </xf>
    <xf numFmtId="164" fontId="11" fillId="0" borderId="2" applyAlignment="1" pivotButton="0" quotePrefix="0" xfId="1">
      <alignment vertical="center" wrapText="1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1">
      <alignment vertical="center" wrapText="1"/>
    </xf>
    <xf numFmtId="0" fontId="12" fillId="6" borderId="1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164" fontId="9" fillId="0" borderId="0" applyAlignment="1" pivotButton="0" quotePrefix="0" xfId="1">
      <alignment vertical="center"/>
    </xf>
    <xf numFmtId="164" fontId="2" fillId="0" borderId="1" applyAlignment="1" pivotButton="0" quotePrefix="0" xfId="5">
      <alignment horizontal="left" vertical="center"/>
    </xf>
    <xf numFmtId="0" fontId="2" fillId="0" borderId="1" applyAlignment="1" pivotButton="0" quotePrefix="0" xfId="5">
      <alignment horizontal="center" vertical="center"/>
    </xf>
    <xf numFmtId="164" fontId="2" fillId="0" borderId="1" applyAlignment="1" applyProtection="1" pivotButton="0" quotePrefix="0" xfId="1">
      <alignment horizontal="center" vertical="center"/>
      <protection locked="0" hidden="0"/>
    </xf>
    <xf numFmtId="164" fontId="9" fillId="0" borderId="1" applyAlignment="1" pivotButton="0" quotePrefix="0" xfId="1">
      <alignment vertical="center" wrapText="1"/>
    </xf>
    <xf numFmtId="164" fontId="2" fillId="0" borderId="1" applyAlignment="1" applyProtection="1" pivotButton="0" quotePrefix="0" xfId="1">
      <alignment horizontal="left" vertical="center"/>
      <protection locked="0" hidden="0"/>
    </xf>
    <xf numFmtId="164" fontId="9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49" fontId="20" fillId="5" borderId="1" applyAlignment="1" pivotButton="0" quotePrefix="0" xfId="0">
      <alignment horizontal="left"/>
    </xf>
    <xf numFmtId="49" fontId="11" fillId="5" borderId="1" applyAlignment="1" pivotButton="0" quotePrefix="0" xfId="0">
      <alignment horizontal="left"/>
    </xf>
    <xf numFmtId="164" fontId="11" fillId="0" borderId="2" applyAlignment="1" pivotButton="0" quotePrefix="0" xfId="11">
      <alignment vertical="center" wrapText="1"/>
    </xf>
    <xf numFmtId="164" fontId="14" fillId="0" borderId="1" applyAlignment="1" pivotButton="0" quotePrefix="0" xfId="11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164" fontId="11" fillId="0" borderId="2" applyAlignment="1" pivotButton="0" quotePrefix="0" xfId="1">
      <alignment horizontal="center" vertical="center" wrapText="1"/>
    </xf>
    <xf numFmtId="164" fontId="11" fillId="0" borderId="3" applyAlignment="1" pivotButton="0" quotePrefix="0" xfId="1">
      <alignment horizontal="center" vertical="center" wrapText="1"/>
    </xf>
    <xf numFmtId="164" fontId="11" fillId="0" borderId="5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164" fontId="11" fillId="0" borderId="7" applyAlignment="1" pivotButton="0" quotePrefix="0" xfId="0">
      <alignment horizontal="center" vertical="center" wrapText="1"/>
    </xf>
    <xf numFmtId="164" fontId="11" fillId="0" borderId="5" applyAlignment="1" pivotButton="0" quotePrefix="0" xfId="1">
      <alignment horizontal="center" vertical="center" wrapText="1"/>
    </xf>
    <xf numFmtId="164" fontId="11" fillId="0" borderId="6" applyAlignment="1" pivotButton="0" quotePrefix="0" xfId="1">
      <alignment horizontal="center" vertical="center" wrapText="1"/>
    </xf>
    <xf numFmtId="164" fontId="11" fillId="0" borderId="7" applyAlignment="1" pivotButton="0" quotePrefix="0" xfId="1">
      <alignment horizontal="center" vertical="center" wrapText="1"/>
    </xf>
    <xf numFmtId="164" fontId="2" fillId="0" borderId="2" applyAlignment="1" applyProtection="1" pivotButton="0" quotePrefix="0" xfId="1">
      <alignment horizontal="center" vertical="center"/>
      <protection locked="0" hidden="0"/>
    </xf>
    <xf numFmtId="164" fontId="2" fillId="0" borderId="8" applyAlignment="1" applyProtection="1" pivotButton="0" quotePrefix="0" xfId="1">
      <alignment horizontal="center" vertical="center"/>
      <protection locked="0" hidden="0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164" fontId="11" fillId="0" borderId="5" applyAlignment="1" pivotButton="0" quotePrefix="0" xfId="1">
      <alignment horizontal="center" vertical="center" wrapText="1"/>
    </xf>
    <xf numFmtId="164" fontId="11" fillId="0" borderId="6" applyAlignment="1" pivotButton="0" quotePrefix="0" xfId="1">
      <alignment horizontal="center" vertical="center" wrapText="1"/>
    </xf>
    <xf numFmtId="164" fontId="11" fillId="0" borderId="7" applyAlignment="1" pivotButton="0" quotePrefix="0" xfId="1">
      <alignment horizontal="center" vertical="center" wrapText="1"/>
    </xf>
    <xf numFmtId="164" fontId="4" fillId="0" borderId="0" applyAlignment="1" pivotButton="0" quotePrefix="0" xfId="1">
      <alignment vertical="center" wrapText="1"/>
    </xf>
    <xf numFmtId="164" fontId="4" fillId="0" borderId="0" pivotButton="0" quotePrefix="0" xfId="1"/>
    <xf numFmtId="164" fontId="9" fillId="0" borderId="0" applyAlignment="1" pivotButton="0" quotePrefix="0" xfId="1">
      <alignment horizontal="center" vertical="center"/>
    </xf>
    <xf numFmtId="164" fontId="9" fillId="0" borderId="0" applyAlignment="1" pivotButton="0" quotePrefix="0" xfId="1">
      <alignment vertical="center"/>
    </xf>
    <xf numFmtId="164" fontId="9" fillId="0" borderId="0" pivotButton="0" quotePrefix="0" xfId="1"/>
    <xf numFmtId="164" fontId="11" fillId="0" borderId="0" pivotButton="0" quotePrefix="0" xfId="1"/>
    <xf numFmtId="164" fontId="11" fillId="0" borderId="0" applyAlignment="1" pivotButton="0" quotePrefix="0" xfId="1">
      <alignment horizontal="center" vertical="center"/>
    </xf>
    <xf numFmtId="164" fontId="12" fillId="0" borderId="1" applyAlignment="1" pivotButton="0" quotePrefix="0" xfId="1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164" fontId="12" fillId="2" borderId="1" applyAlignment="1" pivotButton="0" quotePrefix="0" xfId="1">
      <alignment horizontal="center" vertical="center" wrapText="1"/>
    </xf>
    <xf numFmtId="164" fontId="2" fillId="0" borderId="1" applyAlignment="1" pivotButton="0" quotePrefix="0" xfId="5">
      <alignment horizontal="left" vertical="center"/>
    </xf>
    <xf numFmtId="164" fontId="2" fillId="0" borderId="1" applyAlignment="1" applyProtection="1" pivotButton="0" quotePrefix="0" xfId="1">
      <alignment horizontal="center" vertical="center"/>
      <protection locked="0" hidden="0"/>
    </xf>
    <xf numFmtId="164" fontId="9" fillId="0" borderId="1" applyAlignment="1" pivotButton="0" quotePrefix="0" xfId="1">
      <alignment vertical="center" wrapText="1"/>
    </xf>
    <xf numFmtId="164" fontId="2" fillId="0" borderId="1" applyAlignment="1" applyProtection="1" pivotButton="0" quotePrefix="0" xfId="1">
      <alignment horizontal="left" vertical="center"/>
      <protection locked="0" hidden="0"/>
    </xf>
    <xf numFmtId="164" fontId="9" fillId="0" borderId="1" applyAlignment="1" pivotButton="0" quotePrefix="0" xfId="0">
      <alignment vertical="center" wrapText="1"/>
    </xf>
    <xf numFmtId="164" fontId="15" fillId="3" borderId="1" applyAlignment="1" pivotButton="0" quotePrefix="0" xfId="5">
      <alignment horizontal="right" vertical="center"/>
    </xf>
    <xf numFmtId="164" fontId="9" fillId="3" borderId="1" applyAlignment="1" pivotButton="0" quotePrefix="0" xfId="1">
      <alignment horizontal="center" vertical="center"/>
    </xf>
    <xf numFmtId="164" fontId="9" fillId="3" borderId="1" applyAlignment="1" applyProtection="1" pivotButton="0" quotePrefix="0" xfId="1">
      <alignment horizontal="center" vertical="center"/>
      <protection locked="0" hidden="0"/>
    </xf>
    <xf numFmtId="164" fontId="10" fillId="3" borderId="1" applyAlignment="1" pivotButton="0" quotePrefix="0" xfId="0">
      <alignment vertical="center" wrapText="1"/>
    </xf>
    <xf numFmtId="164" fontId="9" fillId="3" borderId="1" applyAlignment="1" applyProtection="1" pivotButton="0" quotePrefix="0" xfId="1">
      <alignment horizontal="left" vertical="center"/>
      <protection locked="0" hidden="0"/>
    </xf>
    <xf numFmtId="0" fontId="21" fillId="7" borderId="0" pivotButton="0" quotePrefix="0" xfId="0"/>
    <xf numFmtId="0" fontId="0" fillId="0" borderId="0" applyAlignment="1" pivotButton="0" quotePrefix="0" xfId="0">
      <alignment vertical="top" wrapText="1"/>
    </xf>
    <xf numFmtId="0" fontId="21" fillId="7" borderId="0" applyAlignment="1" pivotButton="0" quotePrefix="0" xfId="0">
      <alignment vertical="center"/>
    </xf>
    <xf numFmtId="165" fontId="21" fillId="7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</cellXfs>
  <cellStyles count="12">
    <cellStyle name="Normal" xfId="0" builtinId="0"/>
    <cellStyle name="Comma" xfId="1" builtinId="3"/>
    <cellStyle name="Normal 2" xfId="2"/>
    <cellStyle name="Comma 10 2 2" xfId="3"/>
    <cellStyle name="Normal 36" xfId="4"/>
    <cellStyle name="Comma 2 13" xfId="5"/>
    <cellStyle name="Normal 14 2" xfId="6"/>
    <cellStyle name="Comma 39" xfId="7"/>
    <cellStyle name="Normal 3" xfId="8"/>
    <cellStyle name="Comma 2" xfId="9"/>
    <cellStyle name="Comma 10 2 2 2" xfId="10"/>
    <cellStyle name="Comma 4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\dcs\Documents%20and%20Settings\dmendoza\Desktop\PSTSI%20Document%20Standard%20Format%20-%20Forms%20&amp;%20Logshee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STSI Doc Hist"/>
      <sheetName val="sample form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showGridLines="0" tabSelected="1" view="pageBreakPreview" topLeftCell="B159" zoomScale="115" zoomScaleNormal="115" zoomScaleSheetLayoutView="115" workbookViewId="0">
      <pane ySplit="11" topLeftCell="A12" activePane="bottomLeft" state="frozen"/>
      <selection pane="bottomLeft" activeCell="C183" sqref="C183"/>
    </sheetView>
  </sheetViews>
  <sheetFormatPr baseColWidth="8" defaultColWidth="8.88671875" defaultRowHeight="13.2"/>
  <cols>
    <col width="8.44140625" customWidth="1" style="3" min="1" max="1"/>
    <col width="48.6640625" customWidth="1" style="5" min="2" max="2"/>
    <col width="7.6640625" customWidth="1" style="7" min="3" max="4"/>
    <col width="12.6640625" customWidth="1" style="127" min="5" max="8"/>
    <col width="13.6640625" customWidth="1" style="3" min="9" max="9"/>
    <col width="8.88671875" customWidth="1" style="3" min="10" max="10"/>
    <col width="13" customWidth="1" style="3" min="11" max="11"/>
    <col width="13.109375" customWidth="1" style="3" min="12" max="12"/>
    <col width="9.5546875" bestFit="1" customWidth="1" style="3" min="13" max="13"/>
    <col width="8.88671875" customWidth="1" style="3" min="14" max="16384"/>
  </cols>
  <sheetData>
    <row r="1">
      <c r="A1" s="21" t="n"/>
      <c r="B1" s="103" t="inlineStr">
        <is>
          <t>RUNEHA INC.</t>
        </is>
      </c>
    </row>
    <row r="2">
      <c r="A2" s="21" t="n"/>
      <c r="B2" s="104" t="inlineStr">
        <is>
          <t>Block 7 Lot 9 Trails of Maia Alta, Brgy. Dalig, Antipolo City</t>
        </is>
      </c>
    </row>
    <row r="3">
      <c r="A3" s="21" t="n"/>
      <c r="B3" s="104" t="n"/>
      <c r="C3" s="104" t="n"/>
      <c r="D3" s="104" t="n"/>
      <c r="E3" s="104" t="n"/>
      <c r="F3" s="104" t="n"/>
      <c r="G3" s="104" t="n"/>
      <c r="H3" s="104" t="n"/>
      <c r="I3" s="104" t="n"/>
    </row>
    <row r="4" ht="15" customFormat="1" customHeight="1" s="128">
      <c r="A4" s="23" t="inlineStr">
        <is>
          <t>Project:</t>
        </is>
      </c>
      <c r="B4" s="24" t="inlineStr">
        <is>
          <t>POOL CONSTRUCTION PROJECT</t>
        </is>
      </c>
      <c r="C4" s="25" t="n"/>
      <c r="D4" s="25" t="n"/>
      <c r="E4" s="25" t="n"/>
      <c r="F4" s="25" t="n"/>
      <c r="G4" s="108" t="n"/>
      <c r="I4" s="25" t="n"/>
      <c r="M4" s="2" t="n"/>
      <c r="N4" s="2" t="n"/>
      <c r="O4" s="2" t="n"/>
      <c r="P4" s="2" t="n"/>
      <c r="Q4" s="2" t="n"/>
      <c r="R4" s="2" t="n"/>
      <c r="S4" s="2" t="n"/>
    </row>
    <row r="5" ht="13.2" customFormat="1" customHeight="1" s="2">
      <c r="A5" s="23" t="inlineStr">
        <is>
          <t>Location:</t>
        </is>
      </c>
      <c r="B5" s="109" t="inlineStr">
        <is>
          <t>Residential Pool Construction</t>
        </is>
      </c>
      <c r="F5" s="28" t="n"/>
      <c r="G5" s="28" t="n"/>
      <c r="H5" s="23" t="n"/>
      <c r="I5" s="27" t="n"/>
      <c r="K5" s="128" t="n"/>
      <c r="L5" s="128" t="n"/>
    </row>
    <row r="6" ht="13.8" customFormat="1" customHeight="1" s="2">
      <c r="A6" s="23" t="inlineStr">
        <is>
          <t>Client:</t>
        </is>
      </c>
      <c r="B6" s="90" t="inlineStr">
        <is>
          <t>Greenfield Residential Development Corp.</t>
        </is>
      </c>
      <c r="C6" s="129" t="n"/>
      <c r="D6" s="25" t="n"/>
      <c r="E6" s="130" t="n"/>
      <c r="F6" s="131" t="n"/>
      <c r="G6" s="108" t="inlineStr">
        <is>
          <t>Estimated by:</t>
        </is>
      </c>
      <c r="I6" s="25" t="inlineStr">
        <is>
          <t>NCV</t>
        </is>
      </c>
      <c r="K6" s="128" t="n"/>
      <c r="L6" s="128" t="n"/>
    </row>
    <row r="7" customFormat="1" s="2">
      <c r="A7" s="30" t="inlineStr">
        <is>
          <t>BILL OF QUANTITIES (BOQ) - POOL CONSTRUCTION - ESTIMATED COST</t>
        </is>
      </c>
      <c r="B7" s="24" t="inlineStr">
        <is>
          <t>BILL OF QUANTITIES (BOQ) - POOL CONSTRUCTION</t>
        </is>
      </c>
      <c r="C7" s="27" t="n"/>
      <c r="D7" s="129" t="n"/>
      <c r="E7" s="25" t="n"/>
      <c r="F7" s="132" t="n"/>
      <c r="G7" s="132" t="n"/>
      <c r="H7" s="108" t="inlineStr">
        <is>
          <t>Date:</t>
        </is>
      </c>
      <c r="I7" s="62" t="n">
        <v>45595</v>
      </c>
      <c r="J7" s="128" t="n"/>
      <c r="K7" s="128" t="n"/>
      <c r="L7" s="128" t="n"/>
    </row>
    <row r="8" customFormat="1" s="2">
      <c r="A8" s="105" t="inlineStr">
        <is>
          <t>COST BREAKDOWN</t>
        </is>
      </c>
      <c r="K8" s="128" t="n"/>
      <c r="L8" s="128" t="n"/>
    </row>
    <row r="9" customFormat="1" s="128">
      <c r="A9" s="34" t="n"/>
      <c r="B9" s="132" t="n"/>
      <c r="C9" s="30" t="n"/>
      <c r="D9" s="133" t="n"/>
      <c r="E9" s="32" t="n"/>
      <c r="F9" s="132" t="n"/>
      <c r="G9" s="132" t="n"/>
      <c r="H9" s="132" t="n"/>
      <c r="I9" s="132" t="n"/>
      <c r="M9" s="2" t="n"/>
      <c r="N9" s="2" t="n"/>
      <c r="O9" s="2" t="n"/>
      <c r="P9" s="2" t="n"/>
      <c r="Q9" s="2" t="n"/>
      <c r="R9" s="2" t="n"/>
      <c r="S9" s="2" t="n"/>
    </row>
    <row r="10">
      <c r="A10" s="106" t="inlineStr">
        <is>
          <t>ITEM</t>
        </is>
      </c>
      <c r="B10" s="106" t="inlineStr">
        <is>
          <t>DESCRIPTION</t>
        </is>
      </c>
      <c r="C10" s="106" t="inlineStr">
        <is>
          <t>QTY</t>
        </is>
      </c>
      <c r="D10" s="106" t="inlineStr">
        <is>
          <t>UNIT</t>
        </is>
      </c>
      <c r="E10" s="134" t="inlineStr">
        <is>
          <t>MATERIAL COST</t>
        </is>
      </c>
      <c r="F10" s="135" t="n"/>
      <c r="G10" s="134" t="inlineStr">
        <is>
          <t>LABOR COST</t>
        </is>
      </c>
      <c r="H10" s="135" t="n"/>
      <c r="I10" s="106" t="inlineStr">
        <is>
          <t>AMOUNT</t>
        </is>
      </c>
    </row>
    <row r="11">
      <c r="A11" s="136" t="n"/>
      <c r="B11" s="136" t="n"/>
      <c r="C11" s="136" t="n"/>
      <c r="D11" s="136" t="n"/>
      <c r="E11" s="134" t="inlineStr">
        <is>
          <t>UNIT COST</t>
        </is>
      </c>
      <c r="F11" s="134" t="inlineStr">
        <is>
          <t>AMOUNT</t>
        </is>
      </c>
      <c r="G11" s="134" t="inlineStr">
        <is>
          <t>UNIT COST</t>
        </is>
      </c>
      <c r="H11" s="134" t="inlineStr">
        <is>
          <t>AMOUNT</t>
        </is>
      </c>
      <c r="I11" s="136" t="n"/>
    </row>
    <row r="12" ht="15" customHeight="1">
      <c r="A12" s="36" t="inlineStr">
        <is>
          <t>A</t>
        </is>
      </c>
      <c r="B12" s="37" t="inlineStr">
        <is>
          <t>GENERAL REQUIREMENTS</t>
        </is>
      </c>
      <c r="C12" s="38" t="n"/>
      <c r="D12" s="38" t="n"/>
      <c r="E12" s="137" t="n"/>
      <c r="F12" s="137" t="n"/>
      <c r="G12" s="137" t="n"/>
      <c r="H12" s="137" t="n"/>
      <c r="I12" s="38" t="n"/>
    </row>
    <row r="13" ht="21.9" customHeight="1">
      <c r="A13" s="71" t="n">
        <v>1</v>
      </c>
      <c r="B13" s="138" t="inlineStr">
        <is>
          <t>Mobilization / Demobilization</t>
        </is>
      </c>
      <c r="C13" s="71" t="n">
        <v>1</v>
      </c>
      <c r="D13" s="93" t="inlineStr">
        <is>
          <t>lot</t>
        </is>
      </c>
      <c r="E13" s="139" t="n">
        <v>35000</v>
      </c>
      <c r="F13" s="140">
        <f>IF(OR(C13="",E13=""),"",C13*E13)</f>
        <v/>
      </c>
      <c r="G13" s="141" t="n">
        <v>25000</v>
      </c>
      <c r="H13" s="140">
        <f>IF(OR(C13="",G13=""),"",C13*G13)</f>
        <v/>
      </c>
      <c r="I13" s="142">
        <f>IF(AND(F13="",H13=""),"",SUM(F13,H13))</f>
        <v/>
      </c>
    </row>
    <row r="14" ht="21.9" customHeight="1">
      <c r="A14" s="71" t="n">
        <v>2</v>
      </c>
      <c r="B14" s="138" t="inlineStr">
        <is>
          <t>Site preparation, clearing and layout</t>
        </is>
      </c>
      <c r="C14" s="71" t="n">
        <v>1</v>
      </c>
      <c r="D14" s="93" t="inlineStr">
        <is>
          <t>lot</t>
        </is>
      </c>
      <c r="E14" s="139" t="n">
        <v>18000</v>
      </c>
      <c r="F14" s="140">
        <f>IF(OR(C14="",E14=""),"",C14*E14)</f>
        <v/>
      </c>
      <c r="G14" s="141" t="n">
        <v>22000</v>
      </c>
      <c r="H14" s="140">
        <f>IF(OR(C14="",G14=""),"",C14*G14)</f>
        <v/>
      </c>
      <c r="I14" s="142">
        <f>IF(AND(F14="",H14=""),"",SUM(F14,H14))</f>
        <v/>
      </c>
    </row>
    <row r="15" ht="21.9" customHeight="1">
      <c r="A15" s="71" t="n">
        <v>3</v>
      </c>
      <c r="B15" s="138" t="inlineStr">
        <is>
          <t>Temporary facilities, safety and protection</t>
        </is>
      </c>
      <c r="C15" s="71" t="n">
        <v>1</v>
      </c>
      <c r="D15" s="93" t="inlineStr">
        <is>
          <t>lot</t>
        </is>
      </c>
      <c r="E15" s="139" t="n">
        <v>12000</v>
      </c>
      <c r="F15" s="140">
        <f>IF(OR(C15="",E15=""),"",C15*E15)</f>
        <v/>
      </c>
      <c r="G15" s="141" t="n">
        <v>15000</v>
      </c>
      <c r="H15" s="140">
        <f>IF(OR(C15="",G15=""),"",C15*G15)</f>
        <v/>
      </c>
      <c r="I15" s="142">
        <f>IF(AND(F15="",H15=""),"",SUM(F15,H15))</f>
        <v/>
      </c>
    </row>
    <row r="16" ht="21.9" customHeight="1">
      <c r="A16" s="71" t="n">
        <v>4</v>
      </c>
      <c r="B16" s="138" t="inlineStr">
        <is>
          <t>Permits / Clearances</t>
        </is>
      </c>
      <c r="C16" s="71" t="n">
        <v>1</v>
      </c>
      <c r="D16" s="93" t="inlineStr">
        <is>
          <t>lot</t>
        </is>
      </c>
      <c r="E16" s="139" t="n">
        <v>10000</v>
      </c>
      <c r="F16" s="140">
        <f>IF(OR(C16="",E16=""),"",C16*E16)</f>
        <v/>
      </c>
      <c r="G16" s="141" t="n">
        <v>5000</v>
      </c>
      <c r="H16" s="140">
        <f>IF(OR(C16="",G16=""),"",C16*G16)</f>
        <v/>
      </c>
      <c r="I16" s="142">
        <f>IF(AND(F16="",H16=""),"",SUM(F16,H16))</f>
        <v/>
      </c>
    </row>
    <row r="17" ht="21.9" customHeight="1">
      <c r="A17" s="71" t="n">
        <v>5</v>
      </c>
      <c r="B17" s="138" t="inlineStr">
        <is>
          <t>Site supervision and management</t>
        </is>
      </c>
      <c r="C17" s="71" t="n">
        <v>1</v>
      </c>
      <c r="D17" s="93" t="inlineStr">
        <is>
          <t>lot</t>
        </is>
      </c>
      <c r="E17" s="139" t="n">
        <v>5000</v>
      </c>
      <c r="F17" s="140">
        <f>IF(OR(C17="",E17=""),"",C17*E17)</f>
        <v/>
      </c>
      <c r="G17" s="141" t="n">
        <v>35000</v>
      </c>
      <c r="H17" s="140">
        <f>IF(OR(C17="",G17=""),"",C17*G17)</f>
        <v/>
      </c>
      <c r="I17" s="142">
        <f>IF(AND(F17="",H17=""),"",SUM(F17,H17))</f>
        <v/>
      </c>
    </row>
    <row r="18" ht="21.9" customHeight="1">
      <c r="A18" s="71" t="n">
        <v>6</v>
      </c>
      <c r="B18" s="138" t="inlineStr">
        <is>
          <t>Waste and debris disposal</t>
        </is>
      </c>
      <c r="C18" s="71" t="n">
        <v>1</v>
      </c>
      <c r="D18" s="93" t="inlineStr">
        <is>
          <t>lot</t>
        </is>
      </c>
      <c r="E18" s="139" t="n">
        <v>8000</v>
      </c>
      <c r="F18" s="140">
        <f>IF(OR(C18="",E18=""),"",C18*E18)</f>
        <v/>
      </c>
      <c r="G18" s="141" t="n">
        <v>12000</v>
      </c>
      <c r="H18" s="140">
        <f>IF(OR(C18="",G18=""),"",C18*G18)</f>
        <v/>
      </c>
      <c r="I18" s="142">
        <f>IF(AND(F18="",H18=""),"",SUM(F18,H18))</f>
        <v/>
      </c>
    </row>
    <row r="19" ht="21.9" customHeight="1">
      <c r="A19" s="44" t="n"/>
      <c r="B19" s="143" t="inlineStr">
        <is>
          <t>GENERAL REQUIREMENTS - Subtotal</t>
        </is>
      </c>
      <c r="C19" s="144" t="n"/>
      <c r="D19" s="47" t="n"/>
      <c r="E19" s="145" t="n"/>
      <c r="F19" s="146" t="n"/>
      <c r="G19" s="147" t="n"/>
      <c r="H19" s="146" t="n"/>
      <c r="I19" s="146">
        <f>SUM(I13:I18)</f>
        <v/>
      </c>
    </row>
    <row r="20" ht="21.9" customHeight="1">
      <c r="A20" s="36" t="inlineStr">
        <is>
          <t>B</t>
        </is>
      </c>
      <c r="B20" s="37" t="inlineStr">
        <is>
          <t>EXCAVATION AND EARTHWORKS</t>
        </is>
      </c>
      <c r="C20" s="38" t="n"/>
      <c r="D20" s="38" t="n"/>
      <c r="E20" s="137" t="n"/>
      <c r="F20" s="137" t="n"/>
      <c r="G20" s="137" t="n"/>
      <c r="H20" s="137" t="n"/>
      <c r="I20" s="38" t="n"/>
    </row>
    <row r="21" ht="21.9" customHeight="1">
      <c r="A21" s="71" t="n">
        <v>7</v>
      </c>
      <c r="B21" s="138" t="inlineStr">
        <is>
          <t>Pool excavation and disposal of excess soil</t>
        </is>
      </c>
      <c r="C21" s="71" t="n">
        <v>45</v>
      </c>
      <c r="D21" s="93" t="inlineStr">
        <is>
          <t>m³</t>
        </is>
      </c>
      <c r="E21" s="139" t="n">
        <v>250</v>
      </c>
      <c r="F21" s="140">
        <f>IF(OR(C21="",E21=""),"",C21*E21)</f>
        <v/>
      </c>
      <c r="G21" s="141" t="n">
        <v>450</v>
      </c>
      <c r="H21" s="140">
        <f>IF(OR(C21="",G21=""),"",C21*G21)</f>
        <v/>
      </c>
      <c r="I21" s="142">
        <f>IF(AND(F21="",H21=""),"",SUM(F21,H21))</f>
        <v/>
      </c>
    </row>
    <row r="22" ht="21.9" customHeight="1">
      <c r="A22" s="71" t="n">
        <v>8</v>
      </c>
      <c r="B22" s="138" t="inlineStr">
        <is>
          <t>Trenching for pool piping and drainage</t>
        </is>
      </c>
      <c r="C22" s="71" t="n">
        <v>30</v>
      </c>
      <c r="D22" s="93" t="inlineStr">
        <is>
          <t>m</t>
        </is>
      </c>
      <c r="E22" s="139" t="n">
        <v>120</v>
      </c>
      <c r="F22" s="140">
        <f>IF(OR(C22="",E22=""),"",C22*E22)</f>
        <v/>
      </c>
      <c r="G22" s="141" t="n">
        <v>180</v>
      </c>
      <c r="H22" s="140">
        <f>IF(OR(C22="",G22=""),"",C22*G22)</f>
        <v/>
      </c>
      <c r="I22" s="142">
        <f>IF(AND(F22="",H22=""),"",SUM(F22,H22))</f>
        <v/>
      </c>
    </row>
    <row r="23" ht="21.9" customHeight="1">
      <c r="A23" s="71" t="n">
        <v>9</v>
      </c>
      <c r="B23" s="138" t="inlineStr">
        <is>
          <t>Backfilling and compaction</t>
        </is>
      </c>
      <c r="C23" s="71" t="n">
        <v>18</v>
      </c>
      <c r="D23" s="93" t="inlineStr">
        <is>
          <t>m³</t>
        </is>
      </c>
      <c r="E23" s="139" t="n">
        <v>180</v>
      </c>
      <c r="F23" s="140">
        <f>IF(OR(C23="",E23=""),"",C23*E23)</f>
        <v/>
      </c>
      <c r="G23" s="141" t="n">
        <v>250</v>
      </c>
      <c r="H23" s="140">
        <f>IF(OR(C23="",G23=""),"",C23*G23)</f>
        <v/>
      </c>
      <c r="I23" s="142">
        <f>IF(AND(F23="",H23=""),"",SUM(F23,H23))</f>
        <v/>
      </c>
    </row>
    <row r="24" ht="15" customHeight="1">
      <c r="A24" s="44" t="n"/>
      <c r="B24" s="143" t="inlineStr">
        <is>
          <t>EXCAVATION AND EARTHWORKS - Subtotal</t>
        </is>
      </c>
      <c r="C24" s="144" t="n"/>
      <c r="D24" s="47" t="n"/>
      <c r="E24" s="145" t="n"/>
      <c r="F24" s="146" t="n"/>
      <c r="G24" s="147" t="n"/>
      <c r="H24" s="146" t="n"/>
      <c r="I24" s="146">
        <f>SUM(I21:I23)</f>
        <v/>
      </c>
    </row>
    <row r="25" ht="15" customHeight="1">
      <c r="A25" s="36" t="inlineStr">
        <is>
          <t>C</t>
        </is>
      </c>
      <c r="B25" s="37" t="inlineStr">
        <is>
          <t>STRUCTURAL / CONCRETE WORKS</t>
        </is>
      </c>
      <c r="C25" s="38" t="n"/>
      <c r="D25" s="38" t="n"/>
      <c r="E25" s="137" t="n"/>
      <c r="F25" s="137" t="n"/>
      <c r="G25" s="137" t="n"/>
      <c r="H25" s="137" t="n"/>
      <c r="I25" s="38" t="n"/>
    </row>
    <row r="26" ht="15" customHeight="1">
      <c r="A26" s="71" t="n">
        <v>10</v>
      </c>
      <c r="B26" s="138" t="inlineStr">
        <is>
          <t>Lean concrete / blinding</t>
        </is>
      </c>
      <c r="C26" s="71" t="n">
        <v>5</v>
      </c>
      <c r="D26" s="93" t="inlineStr">
        <is>
          <t>m³</t>
        </is>
      </c>
      <c r="E26" s="139" t="n">
        <v>6500</v>
      </c>
      <c r="F26" s="140">
        <f>IF(OR(C26="",E26=""),"",C26*E26)</f>
        <v/>
      </c>
      <c r="G26" s="141" t="n">
        <v>1800</v>
      </c>
      <c r="H26" s="140">
        <f>IF(OR(C26="",G26=""),"",C26*G26)</f>
        <v/>
      </c>
      <c r="I26" s="142">
        <f>IF(AND(F26="",H26=""),"",SUM(F26,H26))</f>
        <v/>
      </c>
    </row>
    <row r="27" ht="15" customHeight="1">
      <c r="A27" s="71" t="n">
        <v>11</v>
      </c>
      <c r="B27" s="138" t="inlineStr">
        <is>
          <t>Reinforced concrete pool base</t>
        </is>
      </c>
      <c r="C27" s="71" t="n">
        <v>10</v>
      </c>
      <c r="D27" s="93" t="inlineStr">
        <is>
          <t>m³</t>
        </is>
      </c>
      <c r="E27" s="139" t="n">
        <v>7500</v>
      </c>
      <c r="F27" s="140">
        <f>IF(OR(C27="",E27=""),"",C27*E27)</f>
        <v/>
      </c>
      <c r="G27" s="141" t="n">
        <v>2200</v>
      </c>
      <c r="H27" s="140">
        <f>IF(OR(C27="",G27=""),"",C27*G27)</f>
        <v/>
      </c>
      <c r="I27" s="142">
        <f>IF(AND(F27="",H27=""),"",SUM(F27,H27))</f>
        <v/>
      </c>
    </row>
    <row r="28" ht="38.25" customHeight="1">
      <c r="A28" s="71" t="n">
        <v>12</v>
      </c>
      <c r="B28" s="138" t="inlineStr">
        <is>
          <t>Reinforced concrete pool walls</t>
        </is>
      </c>
      <c r="C28" s="71" t="n">
        <v>12</v>
      </c>
      <c r="D28" s="93" t="inlineStr">
        <is>
          <t>m³</t>
        </is>
      </c>
      <c r="E28" s="139" t="n">
        <v>7800</v>
      </c>
      <c r="F28" s="140">
        <f>IF(OR(C28="",E28=""),"",C28*E28)</f>
        <v/>
      </c>
      <c r="G28" s="141" t="n">
        <v>2500</v>
      </c>
      <c r="H28" s="140">
        <f>IF(OR(C28="",G28=""),"",C28*G28)</f>
        <v/>
      </c>
      <c r="I28" s="142">
        <f>IF(AND(F28="",H28=""),"",SUM(F28,H28))</f>
        <v/>
      </c>
    </row>
    <row r="29">
      <c r="A29" s="71" t="n">
        <v>13</v>
      </c>
      <c r="B29" s="138" t="inlineStr">
        <is>
          <t>Reinforcement bars and tie wire</t>
        </is>
      </c>
      <c r="C29" s="71" t="n">
        <v>1800</v>
      </c>
      <c r="D29" s="93" t="inlineStr">
        <is>
          <t>kg</t>
        </is>
      </c>
      <c r="E29" s="139" t="n">
        <v>48</v>
      </c>
      <c r="F29" s="140">
        <f>IF(OR(C29="",E29=""),"",C29*E29)</f>
        <v/>
      </c>
      <c r="G29" s="141" t="n">
        <v>12</v>
      </c>
      <c r="H29" s="140">
        <f>IF(OR(C29="",G29=""),"",C29*G29)</f>
        <v/>
      </c>
      <c r="I29" s="142">
        <f>IF(AND(F29="",H29=""),"",SUM(F29,H29))</f>
        <v/>
      </c>
    </row>
    <row r="30" ht="34.2" customHeight="1">
      <c r="A30" s="71" t="n">
        <v>14</v>
      </c>
      <c r="B30" s="138" t="inlineStr">
        <is>
          <t>Formworks and supports</t>
        </is>
      </c>
      <c r="C30" s="71" t="n">
        <v>110</v>
      </c>
      <c r="D30" s="93" t="inlineStr">
        <is>
          <t>m²</t>
        </is>
      </c>
      <c r="E30" s="139" t="n">
        <v>650</v>
      </c>
      <c r="F30" s="140">
        <f>IF(OR(C30="",E30=""),"",C30*E30)</f>
        <v/>
      </c>
      <c r="G30" s="141" t="n">
        <v>450</v>
      </c>
      <c r="H30" s="140">
        <f>IF(OR(C30="",G30=""),"",C30*G30)</f>
        <v/>
      </c>
      <c r="I30" s="142">
        <f>IF(AND(F30="",H30=""),"",SUM(F30,H30))</f>
        <v/>
      </c>
    </row>
    <row r="31">
      <c r="A31" s="71" t="n">
        <v>15</v>
      </c>
      <c r="B31" s="138" t="inlineStr">
        <is>
          <t>Waterproofing / protective coating</t>
        </is>
      </c>
      <c r="C31" s="71" t="n">
        <v>110</v>
      </c>
      <c r="D31" s="93" t="inlineStr">
        <is>
          <t>m²</t>
        </is>
      </c>
      <c r="E31" s="139" t="n">
        <v>420</v>
      </c>
      <c r="F31" s="140">
        <f>IF(OR(C31="",E31=""),"",C31*E31)</f>
        <v/>
      </c>
      <c r="G31" s="141" t="n">
        <v>180</v>
      </c>
      <c r="H31" s="140">
        <f>IF(OR(C31="",G31=""),"",C31*G31)</f>
        <v/>
      </c>
      <c r="I31" s="142">
        <f>IF(AND(F31="",H31=""),"",SUM(F31,H31))</f>
        <v/>
      </c>
    </row>
    <row r="32" ht="34.2" customHeight="1">
      <c r="A32" s="44" t="n"/>
      <c r="B32" s="143" t="inlineStr">
        <is>
          <t>STRUCTURAL / CONCRETE WORKS - Subtotal</t>
        </is>
      </c>
      <c r="C32" s="144" t="n"/>
      <c r="D32" s="47" t="n"/>
      <c r="E32" s="145" t="n"/>
      <c r="F32" s="146" t="n"/>
      <c r="G32" s="147" t="n"/>
      <c r="H32" s="146" t="n"/>
      <c r="I32" s="146">
        <f>SUM(I26:I31)</f>
        <v/>
      </c>
    </row>
    <row r="33">
      <c r="A33" s="36" t="inlineStr">
        <is>
          <t>D</t>
        </is>
      </c>
      <c r="B33" s="37" t="inlineStr">
        <is>
          <t>POOL FINISHES</t>
        </is>
      </c>
      <c r="C33" s="38" t="n"/>
      <c r="D33" s="38" t="n"/>
      <c r="E33" s="137" t="n"/>
      <c r="F33" s="137" t="n"/>
      <c r="G33" s="137" t="n"/>
      <c r="H33" s="137" t="n"/>
      <c r="I33" s="38" t="n"/>
    </row>
    <row r="34">
      <c r="A34" s="71" t="n">
        <v>16</v>
      </c>
      <c r="B34" s="138" t="inlineStr">
        <is>
          <t>Pool plaster / cement finish</t>
        </is>
      </c>
      <c r="C34" s="71" t="n">
        <v>110</v>
      </c>
      <c r="D34" s="93" t="inlineStr">
        <is>
          <t>m²</t>
        </is>
      </c>
      <c r="E34" s="139" t="n">
        <v>280</v>
      </c>
      <c r="F34" s="140">
        <f>IF(OR(C34="",E34=""),"",C34*E34)</f>
        <v/>
      </c>
      <c r="G34" s="141" t="n">
        <v>220</v>
      </c>
      <c r="H34" s="140">
        <f>IF(OR(C34="",G34=""),"",C34*G34)</f>
        <v/>
      </c>
      <c r="I34" s="142">
        <f>IF(AND(F34="",H34=""),"",SUM(F34,H34))</f>
        <v/>
      </c>
    </row>
    <row r="35">
      <c r="A35" s="71" t="n">
        <v>17</v>
      </c>
      <c r="B35" s="138" t="inlineStr">
        <is>
          <t>Pool tiles / mosaic finish</t>
        </is>
      </c>
      <c r="C35" s="71" t="n">
        <v>95</v>
      </c>
      <c r="D35" s="93" t="inlineStr">
        <is>
          <t>m²</t>
        </is>
      </c>
      <c r="E35" s="139" t="n">
        <v>850</v>
      </c>
      <c r="F35" s="140">
        <f>IF(OR(C35="",E35=""),"",C35*E35)</f>
        <v/>
      </c>
      <c r="G35" s="141" t="n">
        <v>450</v>
      </c>
      <c r="H35" s="140">
        <f>IF(OR(C35="",G35=""),"",C35*G35)</f>
        <v/>
      </c>
      <c r="I35" s="142">
        <f>IF(AND(F35="",H35=""),"",SUM(F35,H35))</f>
        <v/>
      </c>
    </row>
    <row r="36" ht="14.4" customHeight="1">
      <c r="A36" s="71" t="n">
        <v>18</v>
      </c>
      <c r="B36" s="138" t="inlineStr">
        <is>
          <t>Tile adhesive and grout</t>
        </is>
      </c>
      <c r="C36" s="71" t="n">
        <v>95</v>
      </c>
      <c r="D36" s="93" t="inlineStr">
        <is>
          <t>m²</t>
        </is>
      </c>
      <c r="E36" s="139" t="n">
        <v>180</v>
      </c>
      <c r="F36" s="140">
        <f>IF(OR(C36="",E36=""),"",C36*E36)</f>
        <v/>
      </c>
      <c r="G36" s="141" t="n">
        <v>100</v>
      </c>
      <c r="H36" s="140">
        <f>IF(OR(C36="",G36=""),"",C36*G36)</f>
        <v/>
      </c>
      <c r="I36" s="142">
        <f>IF(AND(F36="",H36=""),"",SUM(F36,H36))</f>
        <v/>
      </c>
    </row>
    <row r="37">
      <c r="A37" s="71" t="n">
        <v>19</v>
      </c>
      <c r="B37" s="138" t="inlineStr">
        <is>
          <t>Coping / pool edge finish</t>
        </is>
      </c>
      <c r="C37" s="71" t="n">
        <v>32</v>
      </c>
      <c r="D37" s="93" t="inlineStr">
        <is>
          <t>m</t>
        </is>
      </c>
      <c r="E37" s="139" t="n">
        <v>750</v>
      </c>
      <c r="F37" s="140">
        <f>IF(OR(C37="",E37=""),"",C37*E37)</f>
        <v/>
      </c>
      <c r="G37" s="141" t="n">
        <v>350</v>
      </c>
      <c r="H37" s="140">
        <f>IF(OR(C37="",G37=""),"",C37*G37)</f>
        <v/>
      </c>
      <c r="I37" s="142">
        <f>IF(AND(F37="",H37=""),"",SUM(F37,H37))</f>
        <v/>
      </c>
    </row>
    <row r="38">
      <c r="A38" s="44" t="n"/>
      <c r="B38" s="143" t="inlineStr">
        <is>
          <t>POOL FINISHES - Subtotal</t>
        </is>
      </c>
      <c r="C38" s="144" t="n"/>
      <c r="D38" s="47" t="n"/>
      <c r="E38" s="145" t="n"/>
      <c r="F38" s="146" t="n"/>
      <c r="G38" s="147" t="n"/>
      <c r="H38" s="146" t="n"/>
      <c r="I38" s="146">
        <f>SUM(I34:I37)</f>
        <v/>
      </c>
    </row>
    <row r="39">
      <c r="A39" s="36" t="inlineStr">
        <is>
          <t>E</t>
        </is>
      </c>
      <c r="B39" s="37" t="inlineStr">
        <is>
          <t>PLUMBING AND FILTRATION SYSTEM</t>
        </is>
      </c>
      <c r="C39" s="38" t="n"/>
      <c r="D39" s="38" t="n"/>
      <c r="E39" s="137" t="n"/>
      <c r="F39" s="137" t="n"/>
      <c r="G39" s="137" t="n"/>
      <c r="H39" s="137" t="n"/>
      <c r="I39" s="38" t="n"/>
    </row>
    <row r="40">
      <c r="A40" s="71" t="n">
        <v>20</v>
      </c>
      <c r="B40" s="138" t="inlineStr">
        <is>
          <t>Pool circulation piping and fittings</t>
        </is>
      </c>
      <c r="C40" s="71" t="n">
        <v>1</v>
      </c>
      <c r="D40" s="93" t="inlineStr">
        <is>
          <t>lot</t>
        </is>
      </c>
      <c r="E40" s="139" t="n">
        <v>45000</v>
      </c>
      <c r="F40" s="140">
        <f>IF(OR(C40="",E40=""),"",C40*E40)</f>
        <v/>
      </c>
      <c r="G40" s="141" t="n">
        <v>22000</v>
      </c>
      <c r="H40" s="140">
        <f>IF(OR(C40="",G40=""),"",C40*G40)</f>
        <v/>
      </c>
      <c r="I40" s="142">
        <f>IF(AND(F40="",H40=""),"",SUM(F40,H40))</f>
        <v/>
      </c>
    </row>
    <row r="41">
      <c r="A41" s="71" t="n">
        <v>21</v>
      </c>
      <c r="B41" s="138" t="inlineStr">
        <is>
          <t>Main drain and fittings</t>
        </is>
      </c>
      <c r="C41" s="71" t="n">
        <v>1</v>
      </c>
      <c r="D41" s="93" t="inlineStr">
        <is>
          <t>set</t>
        </is>
      </c>
      <c r="E41" s="139" t="n">
        <v>8500</v>
      </c>
      <c r="F41" s="140">
        <f>IF(OR(C41="",E41=""),"",C41*E41)</f>
        <v/>
      </c>
      <c r="G41" s="141" t="n">
        <v>2500</v>
      </c>
      <c r="H41" s="140">
        <f>IF(OR(C41="",G41=""),"",C41*G41)</f>
        <v/>
      </c>
      <c r="I41" s="142">
        <f>IF(AND(F41="",H41=""),"",SUM(F41,H41))</f>
        <v/>
      </c>
    </row>
    <row r="42">
      <c r="A42" s="71" t="n">
        <v>22</v>
      </c>
      <c r="B42" s="138" t="inlineStr">
        <is>
          <t>Skimmer / suction fittings</t>
        </is>
      </c>
      <c r="C42" s="71" t="n">
        <v>2</v>
      </c>
      <c r="D42" s="93" t="inlineStr">
        <is>
          <t>set</t>
        </is>
      </c>
      <c r="E42" s="139" t="n">
        <v>6500</v>
      </c>
      <c r="F42" s="140">
        <f>IF(OR(C42="",E42=""),"",C42*E42)</f>
        <v/>
      </c>
      <c r="G42" s="141" t="n">
        <v>1800</v>
      </c>
      <c r="H42" s="140">
        <f>IF(OR(C42="",G42=""),"",C42*G42)</f>
        <v/>
      </c>
      <c r="I42" s="142">
        <f>IF(AND(F42="",H42=""),"",SUM(F42,H42))</f>
        <v/>
      </c>
    </row>
    <row r="43">
      <c r="A43" s="71" t="n">
        <v>23</v>
      </c>
      <c r="B43" s="138" t="inlineStr">
        <is>
          <t>Return inlets / wall fittings</t>
        </is>
      </c>
      <c r="C43" s="71" t="n">
        <v>4</v>
      </c>
      <c r="D43" s="93" t="inlineStr">
        <is>
          <t>set</t>
        </is>
      </c>
      <c r="E43" s="139" t="n">
        <v>1800</v>
      </c>
      <c r="F43" s="140">
        <f>IF(OR(C43="",E43=""),"",C43*E43)</f>
        <v/>
      </c>
      <c r="G43" s="141" t="n">
        <v>600</v>
      </c>
      <c r="H43" s="140">
        <f>IF(OR(C43="",G43=""),"",C43*G43)</f>
        <v/>
      </c>
      <c r="I43" s="142">
        <f>IF(AND(F43="",H43=""),"",SUM(F43,H43))</f>
        <v/>
      </c>
    </row>
    <row r="44">
      <c r="A44" s="71" t="n">
        <v>24</v>
      </c>
      <c r="B44" s="138" t="inlineStr">
        <is>
          <t>Pool pump</t>
        </is>
      </c>
      <c r="C44" s="71" t="n">
        <v>1</v>
      </c>
      <c r="D44" s="93" t="inlineStr">
        <is>
          <t>set</t>
        </is>
      </c>
      <c r="E44" s="139" t="n">
        <v>38000</v>
      </c>
      <c r="F44" s="140">
        <f>IF(OR(C44="",E44=""),"",C44*E44)</f>
        <v/>
      </c>
      <c r="G44" s="141" t="n">
        <v>4500</v>
      </c>
      <c r="H44" s="140">
        <f>IF(OR(C44="",G44=""),"",C44*G44)</f>
        <v/>
      </c>
      <c r="I44" s="142">
        <f>IF(AND(F44="",H44=""),"",SUM(F44,H44))</f>
        <v/>
      </c>
    </row>
    <row r="45">
      <c r="A45" s="71" t="n">
        <v>25</v>
      </c>
      <c r="B45" s="138" t="inlineStr">
        <is>
          <t>Sand / cartridge filter</t>
        </is>
      </c>
      <c r="C45" s="71" t="n">
        <v>1</v>
      </c>
      <c r="D45" s="93" t="inlineStr">
        <is>
          <t>set</t>
        </is>
      </c>
      <c r="E45" s="139" t="n">
        <v>28000</v>
      </c>
      <c r="F45" s="140">
        <f>IF(OR(C45="",E45=""),"",C45*E45)</f>
        <v/>
      </c>
      <c r="G45" s="141" t="n">
        <v>3500</v>
      </c>
      <c r="H45" s="140">
        <f>IF(OR(C45="",G45=""),"",C45*G45)</f>
        <v/>
      </c>
      <c r="I45" s="142">
        <f>IF(AND(F45="",H45=""),"",SUM(F45,H45))</f>
        <v/>
      </c>
    </row>
    <row r="46">
      <c r="A46" s="71" t="n">
        <v>26</v>
      </c>
      <c r="B46" s="138" t="inlineStr">
        <is>
          <t>Valves and control fittings</t>
        </is>
      </c>
      <c r="C46" s="71" t="n">
        <v>1</v>
      </c>
      <c r="D46" s="93" t="inlineStr">
        <is>
          <t>lot</t>
        </is>
      </c>
      <c r="E46" s="139" t="n">
        <v>18000</v>
      </c>
      <c r="F46" s="140">
        <f>IF(OR(C46="",E46=""),"",C46*E46)</f>
        <v/>
      </c>
      <c r="G46" s="141" t="n">
        <v>6000</v>
      </c>
      <c r="H46" s="140">
        <f>IF(OR(C46="",G46=""),"",C46*G46)</f>
        <v/>
      </c>
      <c r="I46" s="142">
        <f>IF(AND(F46="",H46=""),"",SUM(F46,H46))</f>
        <v/>
      </c>
    </row>
    <row r="47">
      <c r="A47" s="44" t="n"/>
      <c r="B47" s="143" t="inlineStr">
        <is>
          <t>PLUMBING AND FILTRATION SYSTEM - Subtotal</t>
        </is>
      </c>
      <c r="C47" s="144" t="n"/>
      <c r="D47" s="47" t="n"/>
      <c r="E47" s="145" t="n"/>
      <c r="F47" s="146" t="n"/>
      <c r="G47" s="147" t="n"/>
      <c r="H47" s="146" t="n"/>
      <c r="I47" s="146">
        <f>SUM(I40:I46)</f>
        <v/>
      </c>
    </row>
    <row r="48">
      <c r="A48" s="36" t="inlineStr">
        <is>
          <t>F</t>
        </is>
      </c>
      <c r="B48" s="37" t="inlineStr">
        <is>
          <t>ELECTRICAL WORKS</t>
        </is>
      </c>
      <c r="C48" s="38" t="n"/>
      <c r="D48" s="38" t="n"/>
      <c r="E48" s="137" t="n"/>
      <c r="F48" s="137" t="n"/>
      <c r="G48" s="137" t="n"/>
      <c r="H48" s="137" t="n"/>
      <c r="I48" s="38" t="n"/>
    </row>
    <row r="49">
      <c r="A49" s="71" t="n">
        <v>27</v>
      </c>
      <c r="B49" s="138" t="inlineStr">
        <is>
          <t>Pool pump electrical connection</t>
        </is>
      </c>
      <c r="C49" s="71" t="n">
        <v>1</v>
      </c>
      <c r="D49" s="93" t="inlineStr">
        <is>
          <t>lot</t>
        </is>
      </c>
      <c r="E49" s="139" t="n">
        <v>12000</v>
      </c>
      <c r="F49" s="140">
        <f>IF(OR(C49="",E49=""),"",C49*E49)</f>
        <v/>
      </c>
      <c r="G49" s="141" t="n">
        <v>7000</v>
      </c>
      <c r="H49" s="140">
        <f>IF(OR(C49="",G49=""),"",C49*G49)</f>
        <v/>
      </c>
      <c r="I49" s="142">
        <f>IF(AND(F49="",H49=""),"",SUM(F49,H49))</f>
        <v/>
      </c>
    </row>
    <row r="50">
      <c r="A50" s="71" t="n">
        <v>28</v>
      </c>
      <c r="B50" s="138" t="inlineStr">
        <is>
          <t>Conduits, wires and accessories</t>
        </is>
      </c>
      <c r="C50" s="71" t="n">
        <v>1</v>
      </c>
      <c r="D50" s="93" t="inlineStr">
        <is>
          <t>lot</t>
        </is>
      </c>
      <c r="E50" s="139" t="n">
        <v>18000</v>
      </c>
      <c r="F50" s="140">
        <f>IF(OR(C50="",E50=""),"",C50*E50)</f>
        <v/>
      </c>
      <c r="G50" s="141" t="n">
        <v>9000</v>
      </c>
      <c r="H50" s="140">
        <f>IF(OR(C50="",G50=""),"",C50*G50)</f>
        <v/>
      </c>
      <c r="I50" s="142">
        <f>IF(AND(F50="",H50=""),"",SUM(F50,H50))</f>
        <v/>
      </c>
    </row>
    <row r="51">
      <c r="A51" s="71" t="n">
        <v>29</v>
      </c>
      <c r="B51" s="138" t="inlineStr">
        <is>
          <t>Pool lighting fixtures and installation</t>
        </is>
      </c>
      <c r="C51" s="71" t="n">
        <v>6</v>
      </c>
      <c r="D51" s="93" t="inlineStr">
        <is>
          <t>set</t>
        </is>
      </c>
      <c r="E51" s="139" t="n">
        <v>4500</v>
      </c>
      <c r="F51" s="140">
        <f>IF(OR(C51="",E51=""),"",C51*E51)</f>
        <v/>
      </c>
      <c r="G51" s="141" t="n">
        <v>1800</v>
      </c>
      <c r="H51" s="140">
        <f>IF(OR(C51="",G51=""),"",C51*G51)</f>
        <v/>
      </c>
      <c r="I51" s="142">
        <f>IF(AND(F51="",H51=""),"",SUM(F51,H51))</f>
        <v/>
      </c>
    </row>
    <row r="52">
      <c r="A52" s="71" t="n">
        <v>30</v>
      </c>
      <c r="B52" s="138" t="inlineStr">
        <is>
          <t>Grounding / bonding system</t>
        </is>
      </c>
      <c r="C52" s="71" t="n">
        <v>1</v>
      </c>
      <c r="D52" s="93" t="inlineStr">
        <is>
          <t>lot</t>
        </is>
      </c>
      <c r="E52" s="139" t="n">
        <v>9000</v>
      </c>
      <c r="F52" s="140">
        <f>IF(OR(C52="",E52=""),"",C52*E52)</f>
        <v/>
      </c>
      <c r="G52" s="141" t="n">
        <v>5000</v>
      </c>
      <c r="H52" s="140">
        <f>IF(OR(C52="",G52=""),"",C52*G52)</f>
        <v/>
      </c>
      <c r="I52" s="142">
        <f>IF(AND(F52="",H52=""),"",SUM(F52,H52))</f>
        <v/>
      </c>
    </row>
    <row r="53">
      <c r="A53" s="44" t="n"/>
      <c r="B53" s="143" t="inlineStr">
        <is>
          <t>ELECTRICAL WORKS - Subtotal</t>
        </is>
      </c>
      <c r="C53" s="144" t="n"/>
      <c r="D53" s="47" t="n"/>
      <c r="E53" s="145" t="n"/>
      <c r="F53" s="146" t="n"/>
      <c r="G53" s="147" t="n"/>
      <c r="H53" s="146" t="n"/>
      <c r="I53" s="146">
        <f>SUM(I49:I52)</f>
        <v/>
      </c>
    </row>
    <row r="54">
      <c r="A54" s="36" t="inlineStr">
        <is>
          <t>G</t>
        </is>
      </c>
      <c r="B54" s="37" t="inlineStr">
        <is>
          <t>DRAINAGE / SURROUNDING WORKS</t>
        </is>
      </c>
      <c r="C54" s="38" t="n"/>
      <c r="D54" s="38" t="n"/>
      <c r="E54" s="137" t="n"/>
      <c r="F54" s="137" t="n"/>
      <c r="G54" s="137" t="n"/>
      <c r="H54" s="137" t="n"/>
      <c r="I54" s="38" t="n"/>
    </row>
    <row r="55">
      <c r="A55" s="71" t="n">
        <v>31</v>
      </c>
      <c r="B55" s="138" t="inlineStr">
        <is>
          <t>Deck / surrounding concrete works</t>
        </is>
      </c>
      <c r="C55" s="71" t="n">
        <v>55</v>
      </c>
      <c r="D55" s="93" t="inlineStr">
        <is>
          <t>m²</t>
        </is>
      </c>
      <c r="E55" s="139" t="n">
        <v>950</v>
      </c>
      <c r="F55" s="140">
        <f>IF(OR(C55="",E55=""),"",C55*E55)</f>
        <v/>
      </c>
      <c r="G55" s="141" t="n">
        <v>550</v>
      </c>
      <c r="H55" s="140">
        <f>IF(OR(C55="",G55=""),"",C55*G55)</f>
        <v/>
      </c>
      <c r="I55" s="142">
        <f>IF(AND(F55="",H55=""),"",SUM(F55,H55))</f>
        <v/>
      </c>
    </row>
    <row r="56">
      <c r="A56" s="71" t="n">
        <v>32</v>
      </c>
      <c r="B56" s="138" t="inlineStr">
        <is>
          <t>Drainage channel / deck drain</t>
        </is>
      </c>
      <c r="C56" s="71" t="n">
        <v>25</v>
      </c>
      <c r="D56" s="93" t="inlineStr">
        <is>
          <t>m</t>
        </is>
      </c>
      <c r="E56" s="139" t="n">
        <v>650</v>
      </c>
      <c r="F56" s="140">
        <f>IF(OR(C56="",E56=""),"",C56*E56)</f>
        <v/>
      </c>
      <c r="G56" s="141" t="n">
        <v>350</v>
      </c>
      <c r="H56" s="140">
        <f>IF(OR(C56="",G56=""),"",C56*G56)</f>
        <v/>
      </c>
      <c r="I56" s="142">
        <f>IF(AND(F56="",H56=""),"",SUM(F56,H56))</f>
        <v/>
      </c>
    </row>
    <row r="57">
      <c r="A57" s="71" t="n">
        <v>33</v>
      </c>
      <c r="B57" s="138" t="inlineStr">
        <is>
          <t>Final grading and site restoration</t>
        </is>
      </c>
      <c r="C57" s="71" t="n">
        <v>1</v>
      </c>
      <c r="D57" s="93" t="inlineStr">
        <is>
          <t>lot</t>
        </is>
      </c>
      <c r="E57" s="139" t="n">
        <v>10000</v>
      </c>
      <c r="F57" s="140">
        <f>IF(OR(C57="",E57=""),"",C57*E57)</f>
        <v/>
      </c>
      <c r="G57" s="141" t="n">
        <v>14000</v>
      </c>
      <c r="H57" s="140">
        <f>IF(OR(C57="",G57=""),"",C57*G57)</f>
        <v/>
      </c>
      <c r="I57" s="142">
        <f>IF(AND(F57="",H57=""),"",SUM(F57,H57))</f>
        <v/>
      </c>
    </row>
    <row r="58">
      <c r="A58" s="44" t="n"/>
      <c r="B58" s="143" t="inlineStr">
        <is>
          <t>DRAINAGE / SURROUNDING WORKS - Subtotal</t>
        </is>
      </c>
      <c r="C58" s="144" t="n"/>
      <c r="D58" s="47" t="n"/>
      <c r="E58" s="145" t="n"/>
      <c r="F58" s="146" t="n"/>
      <c r="G58" s="147" t="n"/>
      <c r="H58" s="146" t="n"/>
      <c r="I58" s="146">
        <f>SUM(I55:I57)</f>
        <v/>
      </c>
    </row>
    <row r="59">
      <c r="A59" s="36" t="inlineStr">
        <is>
          <t>H</t>
        </is>
      </c>
      <c r="B59" s="37" t="inlineStr">
        <is>
          <t>TESTING, COMMISSIONING AND HANDOVER</t>
        </is>
      </c>
      <c r="C59" s="38" t="n"/>
      <c r="D59" s="38" t="n"/>
      <c r="E59" s="137" t="n"/>
      <c r="F59" s="137" t="n"/>
      <c r="G59" s="137" t="n"/>
      <c r="H59" s="137" t="n"/>
      <c r="I59" s="38" t="n"/>
    </row>
    <row r="60">
      <c r="A60" s="71" t="n">
        <v>34</v>
      </c>
      <c r="B60" s="138" t="inlineStr">
        <is>
          <t>Pressure / leak testing of piping</t>
        </is>
      </c>
      <c r="C60" s="71" t="n">
        <v>1</v>
      </c>
      <c r="D60" s="93" t="inlineStr">
        <is>
          <t>lot</t>
        </is>
      </c>
      <c r="E60" s="139" t="n">
        <v>3500</v>
      </c>
      <c r="F60" s="140">
        <f>IF(OR(C60="",E60=""),"",C60*E60)</f>
        <v/>
      </c>
      <c r="G60" s="141" t="n">
        <v>5000</v>
      </c>
      <c r="H60" s="140">
        <f>IF(OR(C60="",G60=""),"",C60*G60)</f>
        <v/>
      </c>
      <c r="I60" s="142">
        <f>IF(AND(F60="",H60=""),"",SUM(F60,H60))</f>
        <v/>
      </c>
    </row>
    <row r="61">
      <c r="A61" s="71" t="n">
        <v>35</v>
      </c>
      <c r="B61" s="138" t="inlineStr">
        <is>
          <t>System testing and commissioning</t>
        </is>
      </c>
      <c r="C61" s="71" t="n">
        <v>1</v>
      </c>
      <c r="D61" s="93" t="inlineStr">
        <is>
          <t>lot</t>
        </is>
      </c>
      <c r="E61" s="139" t="n">
        <v>6000</v>
      </c>
      <c r="F61" s="140">
        <f>IF(OR(C61="",E61=""),"",C61*E61)</f>
        <v/>
      </c>
      <c r="G61" s="141" t="n">
        <v>9000</v>
      </c>
      <c r="H61" s="140">
        <f>IF(OR(C61="",G61=""),"",C61*G61)</f>
        <v/>
      </c>
      <c r="I61" s="142">
        <f>IF(AND(F61="",H61=""),"",SUM(F61,H61))</f>
        <v/>
      </c>
    </row>
    <row r="62">
      <c r="A62" s="71" t="n">
        <v>36</v>
      </c>
      <c r="B62" s="138" t="inlineStr">
        <is>
          <t>Cleaning, final inspection and turnover</t>
        </is>
      </c>
      <c r="C62" s="71" t="n">
        <v>1</v>
      </c>
      <c r="D62" s="93" t="inlineStr">
        <is>
          <t>lot</t>
        </is>
      </c>
      <c r="E62" s="139" t="n">
        <v>5000</v>
      </c>
      <c r="F62" s="140">
        <f>IF(OR(C62="",E62=""),"",C62*E62)</f>
        <v/>
      </c>
      <c r="G62" s="141" t="n">
        <v>8000</v>
      </c>
      <c r="H62" s="140">
        <f>IF(OR(C62="",G62=""),"",C62*G62)</f>
        <v/>
      </c>
      <c r="I62" s="142">
        <f>IF(AND(F62="",H62=""),"",SUM(F62,H62))</f>
        <v/>
      </c>
    </row>
    <row r="63">
      <c r="A63" s="44" t="n"/>
      <c r="B63" s="143" t="inlineStr">
        <is>
          <t>TESTING, COMMISSIONING AND HANDOVER - Subtotal</t>
        </is>
      </c>
      <c r="C63" s="144" t="n"/>
      <c r="D63" s="47" t="n"/>
      <c r="E63" s="145" t="n"/>
      <c r="F63" s="146" t="n"/>
      <c r="G63" s="147" t="n"/>
      <c r="H63" s="146" t="n"/>
      <c r="I63" s="146">
        <f>SUM(I60:I62)</f>
        <v/>
      </c>
    </row>
    <row r="64">
      <c r="A64" s="44" t="n"/>
      <c r="B64" s="143" t="inlineStr">
        <is>
          <t>DIRECT COST TOTAL</t>
        </is>
      </c>
      <c r="C64" s="144" t="n"/>
      <c r="D64" s="47" t="n"/>
      <c r="E64" s="145" t="n"/>
      <c r="F64" s="146" t="n"/>
      <c r="G64" s="147" t="n"/>
      <c r="H64" s="146" t="n"/>
      <c r="I64" s="146">
        <f>I19+I24+I32+I38+I47+I53+I58+I63</f>
        <v/>
      </c>
    </row>
    <row r="65">
      <c r="A65" s="44" t="n"/>
      <c r="B65" s="143" t="inlineStr">
        <is>
          <t>OVERHEAD / CONTINGENCY (%)</t>
        </is>
      </c>
      <c r="C65" s="144" t="n">
        <v>10</v>
      </c>
      <c r="D65" s="47" t="inlineStr">
        <is>
          <t>%</t>
        </is>
      </c>
      <c r="E65" s="145" t="n"/>
      <c r="F65" s="146" t="n"/>
      <c r="G65" s="147" t="n"/>
      <c r="H65" s="146" t="n"/>
      <c r="I65" s="146">
        <f>IF(C65="","",I64*C65/100)</f>
        <v/>
      </c>
    </row>
    <row r="66">
      <c r="A66" s="44" t="n"/>
      <c r="B66" s="143" t="inlineStr">
        <is>
          <t>GRAND TOTAL</t>
        </is>
      </c>
      <c r="C66" s="144" t="n"/>
      <c r="D66" s="47" t="n"/>
      <c r="E66" s="145" t="n"/>
      <c r="F66" s="146" t="n"/>
      <c r="G66" s="147" t="n"/>
      <c r="H66" s="146" t="n"/>
      <c r="I66" s="146">
        <f>IF(I65="",I64,I64+I65)</f>
        <v/>
      </c>
    </row>
    <row r="67">
      <c r="A67" s="150" t="n"/>
      <c r="B67" s="150" t="inlineStr">
        <is>
          <t>ESTIMATED PROJECT BUDGET</t>
        </is>
      </c>
      <c r="C67" s="150" t="n"/>
      <c r="D67" s="150" t="n"/>
      <c r="E67" s="150" t="n"/>
      <c r="F67" s="150" t="n"/>
      <c r="G67" s="150" t="n"/>
      <c r="H67" s="150" t="n"/>
      <c r="I67" s="151" t="n">
        <v>1667204</v>
      </c>
    </row>
    <row r="68">
      <c r="A68" s="152" t="n"/>
      <c r="B68" s="150" t="inlineStr">
        <is>
          <t>SYSTEM BUDGET VALUE</t>
        </is>
      </c>
      <c r="C68" s="152" t="n"/>
      <c r="D68" s="152" t="n"/>
      <c r="E68" s="152" t="n"/>
      <c r="F68" s="152" t="n"/>
      <c r="G68" s="152" t="n"/>
      <c r="H68" s="152" t="n"/>
      <c r="I68" s="153">
        <f>I67</f>
        <v/>
      </c>
    </row>
    <row r="69">
      <c r="B69" s="149" t="inlineStr">
        <is>
          <t>Estimated project budget is based on the BOQ Grand Total. The value in I67 is provided as the project budget value for system/import use.</t>
        </is>
      </c>
    </row>
    <row r="104" ht="15" customHeight="1"/>
    <row r="105" ht="15" customHeight="1"/>
    <row r="106" ht="15" customHeight="1"/>
    <row r="107" ht="15" customHeight="1"/>
    <row r="108" ht="15" customHeight="1"/>
    <row r="109" ht="15" customHeight="1"/>
    <row r="152" ht="34.2" customHeight="1"/>
    <row r="169" ht="15" customHeight="1"/>
    <row r="170" ht="15" customHeight="1"/>
    <row r="177" ht="15" customHeight="1"/>
    <row r="178" ht="15" customHeight="1"/>
    <row r="179" ht="15" customHeight="1"/>
    <row r="180" ht="18" customHeight="1"/>
    <row r="181" ht="13.8" customHeight="1"/>
    <row r="182" ht="13.5" customHeight="1"/>
  </sheetData>
  <mergeCells count="14">
    <mergeCell ref="G4:H4"/>
    <mergeCell ref="D10:D11"/>
    <mergeCell ref="B69:I69"/>
    <mergeCell ref="E10:F10"/>
    <mergeCell ref="G10:H10"/>
    <mergeCell ref="B2:I2"/>
    <mergeCell ref="A8:I8"/>
    <mergeCell ref="B5:E5"/>
    <mergeCell ref="C10:C11"/>
    <mergeCell ref="A10:A11"/>
    <mergeCell ref="G6:H6"/>
    <mergeCell ref="B1:I1"/>
    <mergeCell ref="B10:B11"/>
    <mergeCell ref="I10:I11"/>
  </mergeCells>
  <printOptions horizontalCentered="1"/>
  <pageMargins left="0.236220472440945" right="0.236220472440945" top="1" bottom="0.75" header="0.31496062992126" footer="0.31496062992126"/>
  <pageSetup orientation="landscape" paperSize="9" scale="68" fitToHeight="0" fitToWidth="1" horizontalDpi="1200" verticalDpi="1200"/>
  <headerFooter>
    <oddHeader/>
    <oddFooter>&amp;C&amp;P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24" sqref="F24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Harold Sanares</dc:creator>
  <dcterms:created xmlns:dcterms="http://purl.org/dc/terms/" xmlns:xsi="http://www.w3.org/2001/XMLSchema-instance" xsi:type="dcterms:W3CDTF">2017-09-19T08:11:25Z</dcterms:created>
  <dcterms:modified xmlns:dcterms="http://purl.org/dc/terms/" xmlns:xsi="http://www.w3.org/2001/XMLSchema-instance" xsi:type="dcterms:W3CDTF">2026-10-03T00:51:55Z</dcterms:modified>
  <cp:lastModifiedBy>lyradelosreyes05@outlook.com</cp:lastModifiedBy>
  <cp:lastPrinted>2024-10-29T13:13:48Z</cp:lastPrinted>
</cp:coreProperties>
</file>