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incess Lyra\Downloads\"/>
    </mc:Choice>
  </mc:AlternateContent>
  <xr:revisionPtr revIDLastSave="0" documentId="13_ncr:1_{B9853F8A-AF87-43AD-9A9C-2F8BDFF87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EPRO" sheetId="4" r:id="rId1"/>
    <sheet name="Sheet1" sheetId="7" r:id="rId2"/>
  </sheets>
  <externalReferences>
    <externalReference r:id="rId3"/>
  </externalReferences>
  <definedNames>
    <definedName name="BM_1__1">'[1]sample forms'!#REF!</definedName>
    <definedName name="_xlnm.Print_Area" localSheetId="0">FIREPRO!$A$1:$I$180</definedName>
    <definedName name="_xlnm.Print_Titles" localSheetId="0">FIREPRO!$10:$11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H168" i="4" l="1"/>
  <c r="F168" i="4"/>
  <c r="H70" i="4"/>
  <c r="I70" i="4" s="1"/>
  <c r="F70" i="4"/>
  <c r="H53" i="4"/>
  <c r="F53" i="4"/>
  <c r="F68" i="4"/>
  <c r="H68" i="4"/>
  <c r="H67" i="4"/>
  <c r="F67" i="4"/>
  <c r="H66" i="4"/>
  <c r="F66" i="4"/>
  <c r="H65" i="4"/>
  <c r="F65" i="4"/>
  <c r="I65" i="4" s="1"/>
  <c r="H63" i="4"/>
  <c r="F63" i="4"/>
  <c r="H62" i="4"/>
  <c r="F62" i="4"/>
  <c r="H61" i="4"/>
  <c r="F61" i="4"/>
  <c r="F58" i="4"/>
  <c r="H58" i="4"/>
  <c r="F59" i="4"/>
  <c r="H59" i="4"/>
  <c r="H57" i="4"/>
  <c r="F57" i="4"/>
  <c r="I67" i="4" l="1"/>
  <c r="I68" i="4"/>
  <c r="I53" i="4"/>
  <c r="I168" i="4"/>
  <c r="I57" i="4"/>
  <c r="I66" i="4"/>
  <c r="I61" i="4"/>
  <c r="I63" i="4"/>
  <c r="I62" i="4"/>
  <c r="I59" i="4"/>
  <c r="I58" i="4"/>
  <c r="F71" i="4" l="1"/>
  <c r="F72" i="4"/>
  <c r="F73" i="4"/>
  <c r="F74" i="4"/>
  <c r="F75" i="4"/>
  <c r="F78" i="4"/>
  <c r="H78" i="4"/>
  <c r="I78" i="4" l="1"/>
  <c r="H165" i="4"/>
  <c r="F165" i="4"/>
  <c r="H162" i="4"/>
  <c r="F162" i="4"/>
  <c r="I162" i="4" s="1"/>
  <c r="H55" i="4"/>
  <c r="F55" i="4"/>
  <c r="H54" i="4"/>
  <c r="F54" i="4"/>
  <c r="I55" i="4" l="1"/>
  <c r="I54" i="4"/>
  <c r="I165" i="4"/>
  <c r="H49" i="4" l="1"/>
  <c r="F49" i="4"/>
  <c r="H50" i="4"/>
  <c r="F50" i="4"/>
  <c r="F40" i="4"/>
  <c r="F39" i="4"/>
  <c r="I39" i="4" s="1"/>
  <c r="F38" i="4"/>
  <c r="H39" i="4"/>
  <c r="I50" i="4" l="1"/>
  <c r="I49" i="4"/>
  <c r="H32" i="4"/>
  <c r="F32" i="4"/>
  <c r="H30" i="4"/>
  <c r="I30" i="4" s="1"/>
  <c r="F30" i="4"/>
  <c r="H28" i="4"/>
  <c r="F28" i="4"/>
  <c r="H24" i="4"/>
  <c r="F24" i="4"/>
  <c r="H23" i="4"/>
  <c r="F23" i="4"/>
  <c r="I23" i="4" s="1"/>
  <c r="H22" i="4"/>
  <c r="F22" i="4"/>
  <c r="H21" i="4"/>
  <c r="F21" i="4"/>
  <c r="I21" i="4" s="1"/>
  <c r="H20" i="4"/>
  <c r="F20" i="4"/>
  <c r="I20" i="4" s="1"/>
  <c r="H19" i="4"/>
  <c r="F19" i="4"/>
  <c r="I19" i="4" s="1"/>
  <c r="H18" i="4"/>
  <c r="F18" i="4"/>
  <c r="I18" i="4" s="1"/>
  <c r="H17" i="4"/>
  <c r="F17" i="4"/>
  <c r="I17" i="4" s="1"/>
  <c r="H16" i="4"/>
  <c r="F16" i="4"/>
  <c r="H15" i="4"/>
  <c r="F15" i="4"/>
  <c r="I15" i="4" s="1"/>
  <c r="H13" i="4"/>
  <c r="I22" i="4" l="1"/>
  <c r="I28" i="4"/>
  <c r="I32" i="4"/>
  <c r="I24" i="4"/>
  <c r="I16" i="4"/>
  <c r="I13" i="4"/>
  <c r="I25" i="4" l="1"/>
  <c r="H107" i="4"/>
  <c r="F107" i="4"/>
  <c r="I107" i="4" l="1"/>
  <c r="H113" i="4"/>
  <c r="F113" i="4"/>
  <c r="H45" i="4"/>
  <c r="F45" i="4"/>
  <c r="H40" i="4"/>
  <c r="I40" i="4" s="1"/>
  <c r="H114" i="4"/>
  <c r="F114" i="4"/>
  <c r="H149" i="4"/>
  <c r="F149" i="4"/>
  <c r="H148" i="4"/>
  <c r="F148" i="4"/>
  <c r="I148" i="4" s="1"/>
  <c r="H145" i="4"/>
  <c r="F145" i="4"/>
  <c r="I145" i="4" s="1"/>
  <c r="H144" i="4"/>
  <c r="F144" i="4"/>
  <c r="I144" i="4" s="1"/>
  <c r="H131" i="4"/>
  <c r="F131" i="4"/>
  <c r="H130" i="4"/>
  <c r="F130" i="4"/>
  <c r="H128" i="4"/>
  <c r="F128" i="4"/>
  <c r="H127" i="4"/>
  <c r="F127" i="4"/>
  <c r="H109" i="4"/>
  <c r="F109" i="4"/>
  <c r="H94" i="4"/>
  <c r="F94" i="4"/>
  <c r="F119" i="4"/>
  <c r="H119" i="4"/>
  <c r="H112" i="4"/>
  <c r="F112" i="4"/>
  <c r="H88" i="4"/>
  <c r="F88" i="4"/>
  <c r="H116" i="4"/>
  <c r="F116" i="4"/>
  <c r="H47" i="4"/>
  <c r="F47" i="4"/>
  <c r="H44" i="4"/>
  <c r="F44" i="4"/>
  <c r="H43" i="4"/>
  <c r="F43" i="4"/>
  <c r="H38" i="4"/>
  <c r="I38" i="4" s="1"/>
  <c r="H106" i="4"/>
  <c r="F106" i="4"/>
  <c r="F118" i="4"/>
  <c r="H118" i="4"/>
  <c r="F152" i="4"/>
  <c r="I152" i="4" s="1"/>
  <c r="H152" i="4"/>
  <c r="I43" i="4" l="1"/>
  <c r="I44" i="4"/>
  <c r="I45" i="4"/>
  <c r="I113" i="4"/>
  <c r="I109" i="4"/>
  <c r="I131" i="4"/>
  <c r="I94" i="4"/>
  <c r="I127" i="4"/>
  <c r="I130" i="4"/>
  <c r="I149" i="4"/>
  <c r="I128" i="4"/>
  <c r="I114" i="4"/>
  <c r="I112" i="4"/>
  <c r="I47" i="4"/>
  <c r="I116" i="4"/>
  <c r="I119" i="4"/>
  <c r="I88" i="4"/>
  <c r="I106" i="4"/>
  <c r="I118" i="4"/>
  <c r="F172" i="4" l="1"/>
  <c r="H172" i="4"/>
  <c r="F173" i="4"/>
  <c r="H173" i="4"/>
  <c r="F174" i="4"/>
  <c r="H174" i="4"/>
  <c r="F175" i="4"/>
  <c r="H175" i="4"/>
  <c r="F176" i="4"/>
  <c r="H176" i="4"/>
  <c r="H171" i="4"/>
  <c r="F171" i="4"/>
  <c r="I174" i="4" l="1"/>
  <c r="I176" i="4"/>
  <c r="I175" i="4"/>
  <c r="I173" i="4"/>
  <c r="I172" i="4"/>
  <c r="I171" i="4"/>
  <c r="F89" i="4"/>
  <c r="H89" i="4"/>
  <c r="F91" i="4"/>
  <c r="H91" i="4"/>
  <c r="F92" i="4"/>
  <c r="H92" i="4"/>
  <c r="F96" i="4"/>
  <c r="H96" i="4"/>
  <c r="H98" i="4"/>
  <c r="H100" i="4"/>
  <c r="H102" i="4"/>
  <c r="H104" i="4"/>
  <c r="I104" i="4" s="1"/>
  <c r="F110" i="4"/>
  <c r="H110" i="4"/>
  <c r="F111" i="4"/>
  <c r="H111" i="4"/>
  <c r="F115" i="4"/>
  <c r="H115" i="4"/>
  <c r="F117" i="4"/>
  <c r="H117" i="4"/>
  <c r="F123" i="4"/>
  <c r="H123" i="4"/>
  <c r="F125" i="4"/>
  <c r="H125" i="4"/>
  <c r="F129" i="4"/>
  <c r="H129" i="4"/>
  <c r="F134" i="4"/>
  <c r="H134" i="4"/>
  <c r="F135" i="4"/>
  <c r="H135" i="4"/>
  <c r="F136" i="4"/>
  <c r="H136" i="4"/>
  <c r="F137" i="4"/>
  <c r="H137" i="4"/>
  <c r="F140" i="4"/>
  <c r="H140" i="4"/>
  <c r="F141" i="4"/>
  <c r="H141" i="4"/>
  <c r="F142" i="4"/>
  <c r="H142" i="4"/>
  <c r="F143" i="4"/>
  <c r="H143" i="4"/>
  <c r="H86" i="4"/>
  <c r="F86" i="4"/>
  <c r="F34" i="4"/>
  <c r="H34" i="4"/>
  <c r="F35" i="4"/>
  <c r="H35" i="4"/>
  <c r="H33" i="4"/>
  <c r="F33" i="4"/>
  <c r="I177" i="4" l="1"/>
  <c r="I33" i="4"/>
  <c r="I143" i="4"/>
  <c r="I141" i="4"/>
  <c r="I140" i="4"/>
  <c r="I34" i="4"/>
  <c r="I142" i="4"/>
  <c r="I110" i="4"/>
  <c r="I102" i="4"/>
  <c r="I98" i="4"/>
  <c r="I96" i="4"/>
  <c r="I86" i="4"/>
  <c r="I115" i="4"/>
  <c r="I91" i="4"/>
  <c r="I137" i="4"/>
  <c r="I111" i="4"/>
  <c r="I134" i="4"/>
  <c r="I125" i="4"/>
  <c r="I129" i="4"/>
  <c r="I100" i="4"/>
  <c r="I135" i="4"/>
  <c r="I123" i="4"/>
  <c r="I89" i="4"/>
  <c r="I136" i="4"/>
  <c r="I117" i="4"/>
  <c r="I92" i="4"/>
  <c r="I35" i="4"/>
  <c r="H75" i="4" l="1"/>
  <c r="I75" i="4" s="1"/>
  <c r="H74" i="4"/>
  <c r="I74" i="4" s="1"/>
  <c r="H73" i="4"/>
  <c r="I73" i="4" s="1"/>
  <c r="H72" i="4"/>
  <c r="I72" i="4" s="1"/>
  <c r="H71" i="4"/>
  <c r="I71" i="4" s="1"/>
  <c r="H81" i="4" l="1"/>
  <c r="F81" i="4"/>
  <c r="I81" i="4" l="1"/>
  <c r="I169" i="4" s="1"/>
  <c r="I178" i="4" s="1"/>
  <c r="I179" i="4" l="1"/>
  <c r="I180" i="4" s="1"/>
</calcChain>
</file>

<file path=xl/sharedStrings.xml><?xml version="1.0" encoding="utf-8"?>
<sst xmlns="http://schemas.openxmlformats.org/spreadsheetml/2006/main" count="296" uniqueCount="155">
  <si>
    <t>QTY</t>
  </si>
  <si>
    <t>UNIT</t>
  </si>
  <si>
    <t>MATERIAL COST</t>
  </si>
  <si>
    <t>LABOR COST</t>
  </si>
  <si>
    <t>UNIT COST</t>
  </si>
  <si>
    <t>lot</t>
  </si>
  <si>
    <t>DESCRIPTION</t>
  </si>
  <si>
    <t>AMOUNT</t>
  </si>
  <si>
    <t>Miscellaneous &amp; Consumables</t>
  </si>
  <si>
    <t>Project:</t>
  </si>
  <si>
    <t>Estimated by:</t>
  </si>
  <si>
    <t>Location:</t>
  </si>
  <si>
    <t>Client:</t>
  </si>
  <si>
    <t>Date:</t>
  </si>
  <si>
    <t>ITEM</t>
  </si>
  <si>
    <t>COST BREAKDOWN</t>
  </si>
  <si>
    <t>GRAND TOTAL</t>
  </si>
  <si>
    <t>Mobilization / Demobilization</t>
  </si>
  <si>
    <t>m</t>
  </si>
  <si>
    <t>Sight Glass</t>
  </si>
  <si>
    <t>Sprinkler Heads</t>
  </si>
  <si>
    <t>ø100mm</t>
  </si>
  <si>
    <t>RUNEHA INC.</t>
  </si>
  <si>
    <t>NCV</t>
  </si>
  <si>
    <t>ø40mm</t>
  </si>
  <si>
    <t>Valves &amp; Accessories</t>
  </si>
  <si>
    <t>40mmØ</t>
  </si>
  <si>
    <t>Elbow 90</t>
  </si>
  <si>
    <t>50mmØ</t>
  </si>
  <si>
    <t>Tee Reducer</t>
  </si>
  <si>
    <t>Plus 12% VAT</t>
  </si>
  <si>
    <t>Site Supervision &amp; Management</t>
  </si>
  <si>
    <t>ø65mm</t>
  </si>
  <si>
    <t>ø50mm</t>
  </si>
  <si>
    <t>ø32mm</t>
  </si>
  <si>
    <t>ø25mm</t>
  </si>
  <si>
    <t>A</t>
  </si>
  <si>
    <t>B</t>
  </si>
  <si>
    <t>GENERAL REQUIREMENTS</t>
  </si>
  <si>
    <t>Subject:</t>
  </si>
  <si>
    <t>Equal Tee</t>
  </si>
  <si>
    <t>B.I Fittings (MECH)</t>
  </si>
  <si>
    <t>no/s</t>
  </si>
  <si>
    <t>OS&amp;Y Gate Valve</t>
  </si>
  <si>
    <t>Check Valve</t>
  </si>
  <si>
    <t>Alarm Check Valve</t>
  </si>
  <si>
    <t>Pressure Reducing Valve</t>
  </si>
  <si>
    <t>Air Release Valve</t>
  </si>
  <si>
    <t>Waste Cone</t>
  </si>
  <si>
    <t>Wye Strainer</t>
  </si>
  <si>
    <t>Pressure Gauge</t>
  </si>
  <si>
    <t>set/s</t>
  </si>
  <si>
    <t>(Fire &amp; Jockey Pump)</t>
  </si>
  <si>
    <t>Sensing Line Assembly</t>
  </si>
  <si>
    <t xml:space="preserve">Supervisory Valve </t>
  </si>
  <si>
    <t>Sight Glass, 25mmØ</t>
  </si>
  <si>
    <t>Inspector Test Valve, 25mmØ</t>
  </si>
  <si>
    <t>Ball Valve, 25mmØ</t>
  </si>
  <si>
    <t>ø150mm</t>
  </si>
  <si>
    <t xml:space="preserve">Jockey Pump </t>
  </si>
  <si>
    <t>Auxillary Drain Assembly</t>
  </si>
  <si>
    <t>Check Valve, 150Ø</t>
  </si>
  <si>
    <t>FDC with Cap &amp; Chain, 150x65x65x65</t>
  </si>
  <si>
    <t>150mmØ</t>
  </si>
  <si>
    <t>B.I Union Patente, 25mmØ</t>
  </si>
  <si>
    <t xml:space="preserve">Main Pipe Risers </t>
  </si>
  <si>
    <t>Water Flow Detector</t>
  </si>
  <si>
    <t>Inspector Test Connection</t>
  </si>
  <si>
    <t>Fire Hose Valve with Cap &amp; Chain, 65mmØ</t>
  </si>
  <si>
    <t>Slip-On Flange, 150mmØ</t>
  </si>
  <si>
    <t>Blind Flange, 150mmØ</t>
  </si>
  <si>
    <t>100mmØ</t>
  </si>
  <si>
    <t>Power &amp; Water Consumption</t>
  </si>
  <si>
    <t>Control Wiring (Only from Fire Pump Panel to Pump)</t>
  </si>
  <si>
    <t xml:space="preserve">Testing / Commissioning </t>
  </si>
  <si>
    <t>Pump Mounting Accessories</t>
  </si>
  <si>
    <t xml:space="preserve">B. Fire Protection Works - Subtotal </t>
  </si>
  <si>
    <t>FIRE PROTECTION WORKS</t>
  </si>
  <si>
    <t>C</t>
  </si>
  <si>
    <t xml:space="preserve">C. Other Items - Subtotal </t>
  </si>
  <si>
    <t>OTHER ITEMS</t>
  </si>
  <si>
    <t>Pipe Supports &amp; Hangers</t>
  </si>
  <si>
    <t>Hydro Test</t>
  </si>
  <si>
    <t>Wall Chipping, Pipe Sleeving, Grouting &amp; Sealing</t>
  </si>
  <si>
    <t>Painting Works</t>
  </si>
  <si>
    <t xml:space="preserve">Floor Control Valve </t>
  </si>
  <si>
    <t>High Tensile Bolt &amp; Nut with Washer, 3/4"Ø x 3" (L)</t>
  </si>
  <si>
    <t xml:space="preserve">- Semi-automatic hose rack </t>
  </si>
  <si>
    <t xml:space="preserve">- Brass nipple, adaptor and coupling </t>
  </si>
  <si>
    <t xml:space="preserve">- 30m x 40Ø fire hose, double jacketed </t>
  </si>
  <si>
    <t xml:space="preserve">- 40Ø angle valve, FHV, UL/FM </t>
  </si>
  <si>
    <t>- 40Ø adjustable pistol type (tight grip nozzle)</t>
  </si>
  <si>
    <t>- Piano Hinge</t>
  </si>
  <si>
    <t>- made of Ga.# 18 galvanized iron steel painted (interior and exterior body) with one coat of red lead primer before painting with 2 coat of fire engine red color</t>
  </si>
  <si>
    <t>- 9 lbs. Fire Extinguisher, dry chemical, class ABC</t>
  </si>
  <si>
    <t>- 1/8" thk. Clear Glass</t>
  </si>
  <si>
    <t>Portable Fire Extinguisher</t>
  </si>
  <si>
    <t>- 10 lbs. FE Dry Chemical, class ABC</t>
  </si>
  <si>
    <t>SUB-TOTAL OF ITEM A TO C</t>
  </si>
  <si>
    <t>Water Flow Meter</t>
  </si>
  <si>
    <t>Mechanical Flexible Coupling</t>
  </si>
  <si>
    <t>B.I Pipes, Sched. 40 (Pump Room)</t>
  </si>
  <si>
    <t>Slip-On Flange, 100mmØ</t>
  </si>
  <si>
    <t>Supervisory Switch</t>
  </si>
  <si>
    <t>Rigid Plate pipe support with anchor bolt on concerete pad</t>
  </si>
  <si>
    <t xml:space="preserve">Gate Valve </t>
  </si>
  <si>
    <t>Essentric Reducer</t>
  </si>
  <si>
    <t>Slip-On Flange, 200mmØ</t>
  </si>
  <si>
    <t>Neoprene Non-Skid Rubber Isolator, 6" x 6" x 3/4" thk.</t>
  </si>
  <si>
    <t>INCLUDED IN FP</t>
  </si>
  <si>
    <t>Block 7 Lot 9 Trails of Maia Alta, Brgy. Dalig, Antipolo City</t>
  </si>
  <si>
    <t>66.5 MLD SEAWATER DESALINATION FACILITY at Brgy. Ingore, La Paz, Iloilo</t>
  </si>
  <si>
    <t>J.E. MANALO &amp; CO., INC.</t>
  </si>
  <si>
    <t>DESIGN AND BUILD OF FIRE PROTECTION SYSTEM</t>
  </si>
  <si>
    <t>BILL OF QUANTITES (BOQ) - DESIGN AND BUILD OF FIRE PROTECTION SYSTEM</t>
  </si>
  <si>
    <t>Permits/Clearances</t>
  </si>
  <si>
    <t>by Client</t>
  </si>
  <si>
    <t>Bonds &amp; Insurances</t>
  </si>
  <si>
    <t>Site Expenses, Accomodation &amp; Temfacil</t>
  </si>
  <si>
    <t xml:space="preserve">Health &amp; Safety Requirement &amp; PPE's </t>
  </si>
  <si>
    <t>Waste &amp; Debris Disposal</t>
  </si>
  <si>
    <t>Equipment Shiffing Fee, Hauling and Handling of Materials</t>
  </si>
  <si>
    <t>Scaffoldings &amp; Platforms</t>
  </si>
  <si>
    <t>MVAC Design Calculation, Drafting &amp; Coordination Fee</t>
  </si>
  <si>
    <t>As-Built Drawings &amp; Other Documents</t>
  </si>
  <si>
    <t xml:space="preserve">General Requirements - Subtotal </t>
  </si>
  <si>
    <t>Fire Pump No. 1 (UL/FM) - DIESEL</t>
  </si>
  <si>
    <t>Fire Pump No. 2 (UL/FM) - ELECTRIC</t>
  </si>
  <si>
    <t>Vertical In-Line JockeyPump, 30GPM, 110PSI, 5HP, 380V/3HP/60HZ complete with Jockey Pump Controller &amp; Accessories.</t>
  </si>
  <si>
    <t>Vertical Turbine Diesel Engine Fire Pump, 750GPM, 100PSI, 125HP, 220V complete with Fire Pump Controller &amp; Accessories such as Fuel Tank 130 Gallons.</t>
  </si>
  <si>
    <t>Vertical Turbine Motor Driven Fire Pump, 750GPM, 100PSI, 125HP, 380-400V/3PH/60HZ complete with Fire Pump Controller &amp; Accessories.</t>
  </si>
  <si>
    <t>ø32mm  x ø50mm</t>
  </si>
  <si>
    <t>Reducer</t>
  </si>
  <si>
    <t>ø100mm  x ø150mm</t>
  </si>
  <si>
    <t>B.I Pipes, Sched. 40 (Admin Building)</t>
  </si>
  <si>
    <t>UNDERGROUND PIPES (LOOP PIPING)</t>
  </si>
  <si>
    <t>HDPE PIPE</t>
  </si>
  <si>
    <t>ø150mm x ø100mm</t>
  </si>
  <si>
    <t>ø100mm x ø65mm</t>
  </si>
  <si>
    <t>HDPE Flange, ø65mm</t>
  </si>
  <si>
    <t>B.I Flange, ø40mm</t>
  </si>
  <si>
    <t>Elbow 45</t>
  </si>
  <si>
    <t>Pendent Sprinkler Heads (Viking)</t>
  </si>
  <si>
    <t>Pump Test, 150x65x65x65</t>
  </si>
  <si>
    <t>Ball Valve, 25Ø</t>
  </si>
  <si>
    <t xml:space="preserve">Fire Hose Cabinet </t>
  </si>
  <si>
    <t>Fire Hose Cabinet &amp; Hydrant</t>
  </si>
  <si>
    <t>Builders Work &amp; Excavation</t>
  </si>
  <si>
    <t xml:space="preserve">B.I Fittings </t>
  </si>
  <si>
    <t>FIRE SUPPRESSION SYSTEM (EE ROOM)</t>
  </si>
  <si>
    <t xml:space="preserve">FM 200 </t>
  </si>
  <si>
    <t>3</t>
  </si>
  <si>
    <t>35</t>
  </si>
  <si>
    <t>15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</si>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</sst>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u/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7">
    <xf numFmtId="0" fontId="0" fillId="0" borderId="0" xfId="0"/>
    <xf numFmtId="43" fontId="4" fillId="0" borderId="0" xfId="1" applyFont="1"/>
    <xf numFmtId="0" fontId="4" fillId="0" borderId="0" xfId="0" applyFont="1"/>
    <xf numFmtId="0" fontId="4" fillId="0" borderId="0" xfId="0" applyFont="1" applyAlignment="1">
      <alignment vertical="center" wrapText="1"/>
    </xf>
    <xf numFmtId="43" fontId="4" fillId="0" borderId="0" xfId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43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3" fontId="4" fillId="0" borderId="0" xfId="1" applyFont="1" applyBorder="1" applyAlignment="1">
      <alignment horizontal="center" vertical="center" wrapText="1"/>
    </xf>
    <xf numFmtId="43" fontId="4" fillId="0" borderId="0" xfId="1" applyFont="1" applyBorder="1" applyAlignment="1">
      <alignment vertical="center" wrapText="1"/>
    </xf>
    <xf numFmtId="43" fontId="3" fillId="0" borderId="0" xfId="0" applyNumberFormat="1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43" fontId="7" fillId="0" borderId="4" xfId="1" applyFont="1" applyFill="1" applyBorder="1" applyAlignment="1">
      <alignment vertical="center" wrapText="1"/>
    </xf>
    <xf numFmtId="43" fontId="6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3" fontId="8" fillId="0" borderId="0" xfId="1" applyFont="1" applyFill="1" applyBorder="1" applyAlignment="1">
      <alignment vertical="center" wrapText="1"/>
    </xf>
    <xf numFmtId="43" fontId="5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3" fontId="9" fillId="0" borderId="0" xfId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3" fontId="9" fillId="0" borderId="0" xfId="1" applyFont="1" applyAlignment="1">
      <alignment horizontal="center" vertical="center"/>
    </xf>
    <xf numFmtId="0" fontId="11" fillId="0" borderId="0" xfId="0" applyFont="1"/>
    <xf numFmtId="43" fontId="11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11" fillId="0" borderId="0" xfId="1" applyFont="1"/>
    <xf numFmtId="0" fontId="12" fillId="0" borderId="0" xfId="0" applyFont="1" applyAlignment="1">
      <alignment horizontal="left" vertical="center"/>
    </xf>
    <xf numFmtId="43" fontId="12" fillId="0" borderId="1" xfId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43" fontId="12" fillId="2" borderId="1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4" fillId="0" borderId="1" xfId="1" applyFont="1" applyFill="1" applyBorder="1" applyAlignment="1" applyProtection="1">
      <alignment horizontal="left" vertical="center"/>
      <protection locked="0"/>
    </xf>
    <xf numFmtId="43" fontId="11" fillId="0" borderId="1" xfId="0" applyNumberFormat="1" applyFont="1" applyBorder="1" applyAlignment="1">
      <alignment vertical="center" wrapText="1"/>
    </xf>
    <xf numFmtId="43" fontId="14" fillId="0" borderId="1" xfId="0" applyNumberFormat="1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43" fontId="15" fillId="3" borderId="1" xfId="5" applyFont="1" applyFill="1" applyBorder="1" applyAlignment="1">
      <alignment horizontal="right" vertical="center"/>
    </xf>
    <xf numFmtId="43" fontId="9" fillId="3" borderId="1" xfId="1" applyFont="1" applyFill="1" applyBorder="1" applyAlignment="1">
      <alignment horizontal="center" vertical="center"/>
    </xf>
    <xf numFmtId="0" fontId="9" fillId="3" borderId="1" xfId="5" applyNumberFormat="1" applyFont="1" applyFill="1" applyBorder="1" applyAlignment="1">
      <alignment horizontal="center" vertical="center"/>
    </xf>
    <xf numFmtId="43" fontId="9" fillId="3" borderId="1" xfId="1" applyFont="1" applyFill="1" applyBorder="1" applyAlignment="1" applyProtection="1">
      <alignment horizontal="center" vertical="center"/>
      <protection locked="0"/>
    </xf>
    <xf numFmtId="43" fontId="10" fillId="3" borderId="1" xfId="0" applyNumberFormat="1" applyFont="1" applyFill="1" applyBorder="1" applyAlignment="1">
      <alignment vertical="center" wrapText="1"/>
    </xf>
    <xf numFmtId="43" fontId="9" fillId="3" borderId="1" xfId="1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Alignment="1">
      <alignment horizontal="left" vertical="center" wrapText="1"/>
    </xf>
    <xf numFmtId="43" fontId="11" fillId="0" borderId="1" xfId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 indent="2"/>
    </xf>
    <xf numFmtId="43" fontId="12" fillId="0" borderId="1" xfId="1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top"/>
    </xf>
    <xf numFmtId="43" fontId="11" fillId="0" borderId="1" xfId="1" applyFont="1" applyFill="1" applyBorder="1" applyAlignment="1">
      <alignment vertical="center" wrapText="1"/>
    </xf>
    <xf numFmtId="43" fontId="11" fillId="0" borderId="1" xfId="1" applyFont="1" applyFill="1" applyBorder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3" fontId="14" fillId="0" borderId="1" xfId="1" applyFont="1" applyFill="1" applyBorder="1" applyAlignment="1" applyProtection="1">
      <alignment horizontal="center" vertical="center"/>
      <protection locked="0"/>
    </xf>
    <xf numFmtId="43" fontId="11" fillId="0" borderId="1" xfId="1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3" fontId="11" fillId="0" borderId="2" xfId="1" applyFon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left"/>
    </xf>
    <xf numFmtId="49" fontId="18" fillId="5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1" fillId="5" borderId="1" xfId="0" applyNumberFormat="1" applyFont="1" applyFill="1" applyBorder="1"/>
    <xf numFmtId="49" fontId="11" fillId="5" borderId="1" xfId="0" applyNumberFormat="1" applyFont="1" applyFill="1" applyBorder="1" applyAlignment="1">
      <alignment wrapText="1"/>
    </xf>
    <xf numFmtId="43" fontId="19" fillId="0" borderId="1" xfId="5" applyFont="1" applyFill="1" applyBorder="1" applyAlignment="1">
      <alignment horizontal="right" vertical="center"/>
    </xf>
    <xf numFmtId="43" fontId="11" fillId="0" borderId="1" xfId="1" applyFont="1" applyFill="1" applyBorder="1" applyAlignment="1">
      <alignment horizontal="center" vertical="center"/>
    </xf>
    <xf numFmtId="0" fontId="11" fillId="0" borderId="1" xfId="5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 applyProtection="1">
      <alignment horizontal="center" vertical="center"/>
      <protection locked="0"/>
    </xf>
    <xf numFmtId="43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4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/>
    </xf>
    <xf numFmtId="43" fontId="11" fillId="4" borderId="1" xfId="1" applyFont="1" applyFill="1" applyBorder="1" applyAlignment="1">
      <alignment vertical="center" wrapText="1"/>
    </xf>
    <xf numFmtId="43" fontId="12" fillId="4" borderId="1" xfId="0" applyNumberFormat="1" applyFont="1" applyFill="1" applyBorder="1" applyAlignment="1">
      <alignment vertical="center" wrapText="1"/>
    </xf>
    <xf numFmtId="43" fontId="12" fillId="3" borderId="1" xfId="0" applyNumberFormat="1" applyFont="1" applyFill="1" applyBorder="1" applyAlignment="1">
      <alignment vertical="center" wrapText="1"/>
    </xf>
    <xf numFmtId="43" fontId="11" fillId="0" borderId="2" xfId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1" applyFont="1" applyBorder="1" applyAlignment="1">
      <alignment vertical="center" wrapText="1"/>
    </xf>
    <xf numFmtId="0" fontId="12" fillId="6" borderId="1" xfId="0" applyFont="1" applyFill="1" applyBorder="1" applyAlignment="1">
      <alignment horizontal="left" vertical="center" wrapText="1"/>
    </xf>
    <xf numFmtId="43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43" fontId="9" fillId="0" borderId="0" xfId="1" applyFont="1" applyAlignment="1">
      <alignment vertical="center"/>
    </xf>
    <xf numFmtId="43" fontId="2" fillId="0" borderId="1" xfId="5" applyFont="1" applyFill="1" applyBorder="1" applyAlignment="1">
      <alignment horizontal="left" vertical="center"/>
    </xf>
    <xf numFmtId="0" fontId="2" fillId="0" borderId="1" xfId="5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 applyProtection="1">
      <alignment horizontal="center" vertical="center"/>
      <protection locked="0"/>
    </xf>
    <xf numFmtId="43" fontId="9" fillId="0" borderId="1" xfId="1" applyFont="1" applyBorder="1" applyAlignment="1">
      <alignment vertical="center" wrapText="1"/>
    </xf>
    <xf numFmtId="43" fontId="2" fillId="0" borderId="1" xfId="1" applyFont="1" applyFill="1" applyBorder="1" applyAlignment="1" applyProtection="1">
      <alignment horizontal="left" vertical="center"/>
      <protection locked="0"/>
    </xf>
    <xf numFmtId="43" fontId="9" fillId="0" borderId="1" xfId="0" applyNumberFormat="1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 wrapText="1"/>
    </xf>
    <xf numFmtId="49" fontId="20" fillId="5" borderId="1" xfId="0" applyNumberFormat="1" applyFont="1" applyFill="1" applyBorder="1" applyAlignment="1">
      <alignment horizontal="left"/>
    </xf>
    <xf numFmtId="49" fontId="11" fillId="5" borderId="1" xfId="0" applyNumberFormat="1" applyFont="1" applyFill="1" applyBorder="1" applyAlignment="1">
      <alignment horizontal="left"/>
    </xf>
    <xf numFmtId="43" fontId="11" fillId="0" borderId="2" xfId="11" applyFont="1" applyBorder="1" applyAlignment="1">
      <alignment vertical="center" wrapText="1"/>
    </xf>
    <xf numFmtId="43" fontId="14" fillId="0" borderId="1" xfId="11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3" fontId="12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43" fontId="11" fillId="0" borderId="2" xfId="1" applyFont="1" applyBorder="1" applyAlignment="1">
      <alignment horizontal="center" vertical="center" wrapText="1"/>
    </xf>
    <xf numFmtId="43" fontId="11" fillId="0" borderId="3" xfId="1" applyFont="1" applyBorder="1" applyAlignment="1">
      <alignment horizontal="center" vertical="center" wrapText="1"/>
    </xf>
    <xf numFmtId="43" fontId="11" fillId="0" borderId="5" xfId="0" applyNumberFormat="1" applyFont="1" applyBorder="1" applyAlignment="1">
      <alignment horizontal="center" vertical="center" wrapText="1"/>
    </xf>
    <xf numFmtId="43" fontId="11" fillId="0" borderId="6" xfId="0" applyNumberFormat="1" applyFont="1" applyBorder="1" applyAlignment="1">
      <alignment horizontal="center" vertical="center" wrapText="1"/>
    </xf>
    <xf numFmtId="43" fontId="11" fillId="0" borderId="7" xfId="0" applyNumberFormat="1" applyFont="1" applyBorder="1" applyAlignment="1">
      <alignment horizontal="center" vertical="center" wrapText="1"/>
    </xf>
    <xf numFmtId="43" fontId="11" fillId="0" borderId="5" xfId="1" applyFont="1" applyBorder="1" applyAlignment="1">
      <alignment horizontal="center" vertical="center" wrapText="1"/>
    </xf>
    <xf numFmtId="43" fontId="11" fillId="0" borderId="6" xfId="1" applyFont="1" applyBorder="1" applyAlignment="1">
      <alignment horizontal="center" vertical="center" wrapText="1"/>
    </xf>
    <xf numFmtId="43" fontId="11" fillId="0" borderId="7" xfId="1" applyFont="1" applyBorder="1" applyAlignment="1">
      <alignment horizontal="center" vertical="center" wrapText="1"/>
    </xf>
    <xf numFmtId="43" fontId="2" fillId="0" borderId="2" xfId="1" applyFont="1" applyFill="1" applyBorder="1" applyAlignment="1" applyProtection="1">
      <alignment horizontal="center" vertical="center"/>
      <protection locked="0"/>
    </xf>
    <xf numFmtId="43" fontId="2" fillId="0" borderId="8" xfId="1" applyFont="1" applyFill="1" applyBorder="1" applyAlignment="1" applyProtection="1">
      <alignment horizontal="center" vertical="center"/>
      <protection locked="0"/>
    </xf>
    <xf numFmtId="43" fontId="2" fillId="0" borderId="3" xfId="1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43" fontId="11" fillId="0" borderId="5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 wrapText="1"/>
    </xf>
    <xf numFmtId="43" fontId="11" fillId="0" borderId="7" xfId="1" applyFont="1" applyFill="1" applyBorder="1" applyAlignment="1">
      <alignment horizontal="center" vertical="center" wrapText="1"/>
    </xf>
  </cellXfs>
  <cellStyles count="12">
    <cellStyle name="Comma" xfId="1" builtinId="3"/>
    <cellStyle name="Comma 10 2 2" xfId="3" xr:uid="{00000000-0005-0000-0000-000001000000}"/>
    <cellStyle name="Comma 10 2 2 2" xfId="10" xr:uid="{00000000-0005-0000-0000-000002000000}"/>
    <cellStyle name="Comma 2" xfId="9" xr:uid="{00000000-0005-0000-0000-000003000000}"/>
    <cellStyle name="Comma 2 13" xfId="5" xr:uid="{00000000-0005-0000-0000-000004000000}"/>
    <cellStyle name="Comma 39" xfId="7" xr:uid="{00000000-0005-0000-0000-000005000000}"/>
    <cellStyle name="Comma 4" xfId="11" xr:uid="{00000000-0005-0000-0000-000006000000}"/>
    <cellStyle name="Normal" xfId="0" builtinId="0"/>
    <cellStyle name="Normal 14 2" xfId="6" xr:uid="{00000000-0005-0000-0000-000008000000}"/>
    <cellStyle name="Normal 2" xfId="2" xr:uid="{00000000-0005-0000-0000-000009000000}"/>
    <cellStyle name="Normal 3" xfId="8" xr:uid="{00000000-0005-0000-0000-00000A000000}"/>
    <cellStyle name="Normal 36" xfId="4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187901</xdr:colOff>
      <xdr:row>177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78292" y="4328739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  <xdr:oneCellAnchor>
    <xdr:from>
      <xdr:col>3</xdr:col>
      <xdr:colOff>187901</xdr:colOff>
      <xdr:row>177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78292" y="4346133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cs\Documents%20and%20Settings\dmendoza\Desktop\PSTSI%20Document%20Standard%20Format%20-%20Forms%20&amp;%20Log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TSI Doc Hist"/>
      <sheetName val="sample form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"/>
  <sheetViews>
    <sheetView tabSelected="1" view="pageBreakPreview" topLeftCell="B159" zoomScale="115" zoomScaleNormal="115" zoomScaleSheetLayoutView="115" workbookViewId="0">
      <selection activeCell="C183" sqref="C183"/>
    </sheetView>
  </sheetViews>
  <sheetFormatPr defaultColWidth="8.88671875" defaultRowHeight="13.2" x14ac:dyDescent="0.3"/>
  <cols>
    <col min="1" max="1" width="8.44140625" style="3" customWidth="1"/>
    <col min="2" max="2" width="48.6640625" style="5" customWidth="1"/>
    <col min="3" max="4" width="7.6640625" style="7" customWidth="1"/>
    <col min="5" max="8" width="12.6640625" style="4" customWidth="1"/>
    <col min="9" max="9" width="13.6640625" style="3" customWidth="1"/>
    <col min="10" max="10" width="8.88671875" style="3"/>
    <col min="11" max="11" width="13" style="3" customWidth="1"/>
    <col min="12" max="12" width="13.109375" style="3" customWidth="1"/>
    <col min="13" max="13" width="9.5546875" style="3" bestFit="1" customWidth="1"/>
    <col min="14" max="16384" width="8.88671875" style="3"/>
  </cols>
  <sheetData>
    <row r="1" spans="1:19" x14ac:dyDescent="0.3">
      <c r="A1" s="21"/>
      <c r="B1" s="103" t="s">
        <v>22</v>
      </c>
      <c r="C1" s="103"/>
      <c r="D1" s="103"/>
      <c r="E1" s="103"/>
      <c r="F1" s="103"/>
      <c r="G1" s="103"/>
      <c r="H1" s="103"/>
      <c r="I1" s="103"/>
    </row>
    <row r="2" spans="1:19" x14ac:dyDescent="0.3">
      <c r="A2" s="21"/>
      <c r="B2" s="104" t="s">
        <v>110</v>
      </c>
      <c r="C2" s="104"/>
      <c r="D2" s="104"/>
      <c r="E2" s="104"/>
      <c r="F2" s="104"/>
      <c r="G2" s="104"/>
      <c r="H2" s="104"/>
      <c r="I2" s="104"/>
    </row>
    <row r="3" spans="1:19" x14ac:dyDescent="0.3">
      <c r="A3" s="21"/>
      <c r="B3" s="22"/>
      <c r="C3" s="22"/>
      <c r="D3" s="22"/>
      <c r="E3" s="22"/>
      <c r="F3" s="22"/>
      <c r="G3" s="22"/>
      <c r="H3" s="22"/>
      <c r="I3" s="22"/>
    </row>
    <row r="4" spans="1:19" s="1" customFormat="1" ht="15" customHeight="1" x14ac:dyDescent="0.3">
      <c r="A4" s="23" t="s">
        <v>9</v>
      </c>
      <c r="B4" s="24" t="s">
        <v>113</v>
      </c>
      <c r="C4" s="25"/>
      <c r="D4" s="25"/>
      <c r="E4" s="25"/>
      <c r="F4" s="25"/>
      <c r="G4" s="108"/>
      <c r="H4" s="108"/>
      <c r="I4" s="25"/>
      <c r="M4" s="2"/>
      <c r="N4" s="2"/>
      <c r="O4" s="2"/>
      <c r="P4" s="2"/>
      <c r="Q4" s="2"/>
      <c r="R4" s="2"/>
      <c r="S4" s="2"/>
    </row>
    <row r="5" spans="1:19" s="2" customFormat="1" ht="13.2" customHeight="1" x14ac:dyDescent="0.3">
      <c r="A5" s="23" t="s">
        <v>11</v>
      </c>
      <c r="B5" s="109" t="s">
        <v>111</v>
      </c>
      <c r="C5" s="109"/>
      <c r="D5" s="109"/>
      <c r="E5" s="109"/>
      <c r="F5" s="28"/>
      <c r="G5" s="28"/>
      <c r="H5" s="23"/>
      <c r="I5" s="27"/>
      <c r="K5" s="1"/>
      <c r="L5" s="1"/>
    </row>
    <row r="6" spans="1:19" s="2" customFormat="1" ht="13.8" x14ac:dyDescent="0.3">
      <c r="A6" s="23" t="s">
        <v>12</v>
      </c>
      <c r="B6" s="90" t="s">
        <v>112</v>
      </c>
      <c r="C6" s="29"/>
      <c r="D6" s="25"/>
      <c r="E6" s="91"/>
      <c r="F6" s="26"/>
      <c r="G6" s="108" t="s">
        <v>10</v>
      </c>
      <c r="H6" s="108"/>
      <c r="I6" s="25" t="s">
        <v>23</v>
      </c>
      <c r="K6" s="1"/>
      <c r="L6" s="1"/>
    </row>
    <row r="7" spans="1:19" s="2" customFormat="1" x14ac:dyDescent="0.3">
      <c r="A7" s="30" t="s">
        <v>39</v>
      </c>
      <c r="B7" s="24" t="s">
        <v>114</v>
      </c>
      <c r="C7" s="27"/>
      <c r="D7" s="29"/>
      <c r="E7" s="25"/>
      <c r="F7" s="33"/>
      <c r="G7" s="33"/>
      <c r="H7" s="63" t="s">
        <v>13</v>
      </c>
      <c r="I7" s="62">
        <v>45595</v>
      </c>
      <c r="J7" s="1"/>
      <c r="K7" s="1"/>
      <c r="L7" s="1"/>
    </row>
    <row r="8" spans="1:19" s="2" customFormat="1" x14ac:dyDescent="0.3">
      <c r="A8" s="105" t="s">
        <v>15</v>
      </c>
      <c r="B8" s="105"/>
      <c r="C8" s="105"/>
      <c r="D8" s="105"/>
      <c r="E8" s="105"/>
      <c r="F8" s="105"/>
      <c r="G8" s="105"/>
      <c r="H8" s="105"/>
      <c r="I8" s="105"/>
      <c r="K8" s="1"/>
      <c r="L8" s="1"/>
    </row>
    <row r="9" spans="1:19" s="1" customFormat="1" x14ac:dyDescent="0.3">
      <c r="A9" s="34"/>
      <c r="B9" s="33"/>
      <c r="C9" s="30"/>
      <c r="D9" s="31"/>
      <c r="E9" s="32"/>
      <c r="F9" s="33"/>
      <c r="G9" s="33"/>
      <c r="H9" s="33"/>
      <c r="I9" s="33"/>
      <c r="M9" s="2"/>
      <c r="N9" s="2"/>
      <c r="O9" s="2"/>
      <c r="P9" s="2"/>
      <c r="Q9" s="2"/>
      <c r="R9" s="2"/>
      <c r="S9" s="2"/>
    </row>
    <row r="10" spans="1:19" x14ac:dyDescent="0.3">
      <c r="A10" s="106" t="s">
        <v>14</v>
      </c>
      <c r="B10" s="106" t="s">
        <v>6</v>
      </c>
      <c r="C10" s="106" t="s">
        <v>0</v>
      </c>
      <c r="D10" s="106" t="s">
        <v>1</v>
      </c>
      <c r="E10" s="107" t="s">
        <v>2</v>
      </c>
      <c r="F10" s="107"/>
      <c r="G10" s="107" t="s">
        <v>3</v>
      </c>
      <c r="H10" s="107"/>
      <c r="I10" s="106" t="s">
        <v>7</v>
      </c>
    </row>
    <row r="11" spans="1:19" x14ac:dyDescent="0.3">
      <c r="A11" s="106"/>
      <c r="B11" s="106"/>
      <c r="C11" s="106"/>
      <c r="D11" s="106"/>
      <c r="E11" s="35" t="s">
        <v>4</v>
      </c>
      <c r="F11" s="35" t="s">
        <v>7</v>
      </c>
      <c r="G11" s="35" t="s">
        <v>4</v>
      </c>
      <c r="H11" s="35" t="s">
        <v>7</v>
      </c>
      <c r="I11" s="106"/>
    </row>
    <row r="12" spans="1:19" ht="15" customHeight="1" x14ac:dyDescent="0.3">
      <c r="A12" s="36" t="s">
        <v>36</v>
      </c>
      <c r="B12" s="37" t="s">
        <v>38</v>
      </c>
      <c r="C12" s="38"/>
      <c r="D12" s="38"/>
      <c r="E12" s="39"/>
      <c r="F12" s="39"/>
      <c r="G12" s="39"/>
      <c r="H12" s="39"/>
      <c r="I12" s="38"/>
    </row>
    <row r="13" spans="1:19" ht="21.9" customHeight="1" x14ac:dyDescent="0.3">
      <c r="A13" s="71">
        <v>1</v>
      </c>
      <c r="B13" s="92" t="s">
        <v>17</v>
      </c>
      <c r="C13" s="71">
        <v>2</v>
      </c>
      <c r="D13" s="93" t="s">
        <v>5</v>
      </c>
      <c r="E13" s="94">
        <v>90000</v>
      </c>
      <c r="F13" s="95">
        <f>SUM(C13*E13)</f>
        <v>180000</v>
      </c>
      <c r="G13" s="96">
        <v>50000</v>
      </c>
      <c r="H13" s="95">
        <f>SUM(C13*G13)</f>
        <v>100000</v>
      </c>
      <c r="I13" s="97">
        <f>SUM(F13+H13)</f>
        <v>280000</v>
      </c>
    </row>
    <row r="14" spans="1:19" ht="21.9" customHeight="1" x14ac:dyDescent="0.3">
      <c r="A14" s="71">
        <v>2</v>
      </c>
      <c r="B14" s="92" t="s">
        <v>115</v>
      </c>
      <c r="C14" s="71">
        <v>2</v>
      </c>
      <c r="D14" s="93" t="s">
        <v>5</v>
      </c>
      <c r="E14" s="118" t="s">
        <v>116</v>
      </c>
      <c r="F14" s="119"/>
      <c r="G14" s="119"/>
      <c r="H14" s="120"/>
      <c r="I14" s="98">
        <v>0</v>
      </c>
    </row>
    <row r="15" spans="1:19" ht="21.9" customHeight="1" x14ac:dyDescent="0.3">
      <c r="A15" s="71">
        <v>3</v>
      </c>
      <c r="B15" s="92" t="s">
        <v>72</v>
      </c>
      <c r="C15" s="71">
        <v>2</v>
      </c>
      <c r="D15" s="93" t="s">
        <v>5</v>
      </c>
      <c r="E15" s="94">
        <v>40000</v>
      </c>
      <c r="F15" s="95">
        <f>SUM(C15*E15)</f>
        <v>80000</v>
      </c>
      <c r="G15" s="96">
        <v>50000</v>
      </c>
      <c r="H15" s="95">
        <f>SUM(C15*G15)</f>
        <v>100000</v>
      </c>
      <c r="I15" s="97">
        <f>SUM(F15+H15)</f>
        <v>180000</v>
      </c>
    </row>
    <row r="16" spans="1:19" ht="21.9" customHeight="1" x14ac:dyDescent="0.3">
      <c r="A16" s="71">
        <v>4</v>
      </c>
      <c r="B16" s="92" t="s">
        <v>117</v>
      </c>
      <c r="C16" s="71">
        <v>2</v>
      </c>
      <c r="D16" s="93" t="s">
        <v>5</v>
      </c>
      <c r="E16" s="94">
        <v>80000</v>
      </c>
      <c r="F16" s="95">
        <f>SUM(C16*E16)</f>
        <v>160000</v>
      </c>
      <c r="G16" s="96">
        <v>50000</v>
      </c>
      <c r="H16" s="95">
        <f>SUM(C16*G16)</f>
        <v>100000</v>
      </c>
      <c r="I16" s="97">
        <f t="shared" ref="I16:I24" si="0">SUM(F16+H16)</f>
        <v>260000</v>
      </c>
    </row>
    <row r="17" spans="1:14" ht="21.9" customHeight="1" x14ac:dyDescent="0.3">
      <c r="A17" s="71">
        <v>5</v>
      </c>
      <c r="B17" s="92" t="s">
        <v>118</v>
      </c>
      <c r="C17" s="71">
        <v>2</v>
      </c>
      <c r="D17" s="93" t="s">
        <v>5</v>
      </c>
      <c r="E17" s="94">
        <v>130000</v>
      </c>
      <c r="F17" s="95">
        <f>SUM(C17*E17)</f>
        <v>260000</v>
      </c>
      <c r="G17" s="96">
        <v>100000</v>
      </c>
      <c r="H17" s="95">
        <f>SUM(C17*G17)</f>
        <v>200000</v>
      </c>
      <c r="I17" s="97">
        <f t="shared" si="0"/>
        <v>460000</v>
      </c>
    </row>
    <row r="18" spans="1:14" ht="21.9" customHeight="1" x14ac:dyDescent="0.3">
      <c r="A18" s="71">
        <v>6</v>
      </c>
      <c r="B18" s="92" t="s">
        <v>119</v>
      </c>
      <c r="C18" s="71">
        <v>2</v>
      </c>
      <c r="D18" s="93" t="s">
        <v>5</v>
      </c>
      <c r="E18" s="94">
        <v>40000</v>
      </c>
      <c r="F18" s="95">
        <f t="shared" ref="F18:F24" si="1">SUM(C18*E18)</f>
        <v>80000</v>
      </c>
      <c r="G18" s="96">
        <v>50000</v>
      </c>
      <c r="H18" s="95">
        <f t="shared" ref="H18:H24" si="2">SUM(C18*G18)</f>
        <v>100000</v>
      </c>
      <c r="I18" s="97">
        <f t="shared" si="0"/>
        <v>180000</v>
      </c>
    </row>
    <row r="19" spans="1:14" ht="21.9" customHeight="1" x14ac:dyDescent="0.3">
      <c r="A19" s="71">
        <v>7</v>
      </c>
      <c r="B19" s="92" t="s">
        <v>120</v>
      </c>
      <c r="C19" s="71">
        <v>2</v>
      </c>
      <c r="D19" s="93" t="s">
        <v>5</v>
      </c>
      <c r="E19" s="94">
        <v>30000</v>
      </c>
      <c r="F19" s="95">
        <f t="shared" si="1"/>
        <v>60000</v>
      </c>
      <c r="G19" s="96">
        <v>25000</v>
      </c>
      <c r="H19" s="95">
        <f t="shared" si="2"/>
        <v>50000</v>
      </c>
      <c r="I19" s="97">
        <f t="shared" si="0"/>
        <v>110000</v>
      </c>
    </row>
    <row r="20" spans="1:14" ht="21.9" customHeight="1" x14ac:dyDescent="0.3">
      <c r="A20" s="71">
        <v>8</v>
      </c>
      <c r="B20" s="92" t="s">
        <v>121</v>
      </c>
      <c r="C20" s="71">
        <v>2</v>
      </c>
      <c r="D20" s="93" t="s">
        <v>5</v>
      </c>
      <c r="E20" s="94">
        <v>110000</v>
      </c>
      <c r="F20" s="95">
        <f t="shared" si="1"/>
        <v>220000</v>
      </c>
      <c r="G20" s="96">
        <v>100000</v>
      </c>
      <c r="H20" s="95">
        <f t="shared" si="2"/>
        <v>200000</v>
      </c>
      <c r="I20" s="97">
        <f t="shared" si="0"/>
        <v>420000</v>
      </c>
    </row>
    <row r="21" spans="1:14" ht="21.9" customHeight="1" x14ac:dyDescent="0.3">
      <c r="A21" s="71">
        <v>9</v>
      </c>
      <c r="B21" s="92" t="s">
        <v>122</v>
      </c>
      <c r="C21" s="71">
        <v>2</v>
      </c>
      <c r="D21" s="93" t="s">
        <v>5</v>
      </c>
      <c r="E21" s="94">
        <v>30000</v>
      </c>
      <c r="F21" s="95">
        <f t="shared" si="1"/>
        <v>60000</v>
      </c>
      <c r="G21" s="96">
        <v>25000</v>
      </c>
      <c r="H21" s="95">
        <f t="shared" si="2"/>
        <v>50000</v>
      </c>
      <c r="I21" s="97">
        <f t="shared" si="0"/>
        <v>110000</v>
      </c>
    </row>
    <row r="22" spans="1:14" ht="21.9" customHeight="1" x14ac:dyDescent="0.3">
      <c r="A22" s="71">
        <v>10</v>
      </c>
      <c r="B22" s="92" t="s">
        <v>31</v>
      </c>
      <c r="C22" s="71">
        <v>2</v>
      </c>
      <c r="D22" s="93" t="s">
        <v>5</v>
      </c>
      <c r="E22" s="94">
        <v>350000</v>
      </c>
      <c r="F22" s="95">
        <f t="shared" si="1"/>
        <v>700000</v>
      </c>
      <c r="G22" s="96">
        <v>200000</v>
      </c>
      <c r="H22" s="95">
        <f t="shared" si="2"/>
        <v>400000</v>
      </c>
      <c r="I22" s="97">
        <f t="shared" si="0"/>
        <v>1100000</v>
      </c>
    </row>
    <row r="23" spans="1:14" ht="21.9" customHeight="1" x14ac:dyDescent="0.3">
      <c r="A23" s="71">
        <v>11</v>
      </c>
      <c r="B23" s="92" t="s">
        <v>123</v>
      </c>
      <c r="C23" s="71">
        <v>2</v>
      </c>
      <c r="D23" s="93" t="s">
        <v>5</v>
      </c>
      <c r="E23" s="94">
        <v>150000</v>
      </c>
      <c r="F23" s="95">
        <f t="shared" si="1"/>
        <v>300000</v>
      </c>
      <c r="G23" s="96">
        <v>100000</v>
      </c>
      <c r="H23" s="95">
        <f t="shared" si="2"/>
        <v>200000</v>
      </c>
      <c r="I23" s="97">
        <f t="shared" si="0"/>
        <v>500000</v>
      </c>
    </row>
    <row r="24" spans="1:14" ht="15" customHeight="1" x14ac:dyDescent="0.3">
      <c r="A24" s="71">
        <v>12</v>
      </c>
      <c r="B24" s="92" t="s">
        <v>124</v>
      </c>
      <c r="C24" s="71">
        <v>2</v>
      </c>
      <c r="D24" s="93" t="s">
        <v>5</v>
      </c>
      <c r="E24" s="94">
        <v>15000</v>
      </c>
      <c r="F24" s="95">
        <f t="shared" si="1"/>
        <v>30000</v>
      </c>
      <c r="G24" s="96">
        <v>20000</v>
      </c>
      <c r="H24" s="95">
        <f t="shared" si="2"/>
        <v>40000</v>
      </c>
      <c r="I24" s="97">
        <f t="shared" si="0"/>
        <v>70000</v>
      </c>
    </row>
    <row r="25" spans="1:14" ht="15" customHeight="1" x14ac:dyDescent="0.3">
      <c r="A25" s="44"/>
      <c r="B25" s="45" t="s">
        <v>125</v>
      </c>
      <c r="C25" s="46"/>
      <c r="D25" s="47"/>
      <c r="E25" s="48"/>
      <c r="F25" s="49"/>
      <c r="G25" s="50"/>
      <c r="H25" s="49"/>
      <c r="I25" s="49">
        <f>SUM(I13:I24)</f>
        <v>3670000</v>
      </c>
    </row>
    <row r="26" spans="1:14" ht="15" customHeight="1" x14ac:dyDescent="0.3">
      <c r="A26" s="36" t="s">
        <v>37</v>
      </c>
      <c r="B26" s="37" t="s">
        <v>77</v>
      </c>
      <c r="C26" s="38"/>
      <c r="D26" s="38"/>
      <c r="E26" s="39"/>
      <c r="F26" s="39"/>
      <c r="G26" s="39"/>
      <c r="H26" s="39"/>
      <c r="I26" s="38"/>
    </row>
    <row r="27" spans="1:14" ht="15" customHeight="1" x14ac:dyDescent="0.3">
      <c r="A27" s="40">
        <v>1</v>
      </c>
      <c r="B27" s="88" t="s">
        <v>126</v>
      </c>
      <c r="C27" s="40"/>
      <c r="D27" s="40"/>
      <c r="E27" s="52"/>
      <c r="F27" s="52"/>
      <c r="G27" s="52"/>
      <c r="H27" s="52"/>
      <c r="I27" s="53"/>
    </row>
    <row r="28" spans="1:14" ht="38.25" customHeight="1" x14ac:dyDescent="0.3">
      <c r="A28" s="40"/>
      <c r="B28" s="54" t="s">
        <v>129</v>
      </c>
      <c r="C28" s="40">
        <v>2</v>
      </c>
      <c r="D28" s="40" t="s">
        <v>42</v>
      </c>
      <c r="E28" s="65">
        <v>4500000</v>
      </c>
      <c r="F28" s="64">
        <f t="shared" ref="F28" si="3">E28*C28</f>
        <v>9000000</v>
      </c>
      <c r="G28" s="41">
        <v>50000</v>
      </c>
      <c r="H28" s="41">
        <f t="shared" ref="H28" si="4">G28</f>
        <v>50000</v>
      </c>
      <c r="I28" s="43">
        <f>SUM(H28,F28)</f>
        <v>9050000</v>
      </c>
    </row>
    <row r="29" spans="1:14" x14ac:dyDescent="0.3">
      <c r="A29" s="40">
        <v>2</v>
      </c>
      <c r="B29" s="88" t="s">
        <v>127</v>
      </c>
      <c r="C29" s="40"/>
      <c r="D29" s="40"/>
      <c r="E29" s="52"/>
      <c r="F29" s="52"/>
      <c r="G29" s="52"/>
      <c r="H29" s="52"/>
      <c r="I29" s="53"/>
      <c r="K29" s="7"/>
      <c r="L29" s="7"/>
      <c r="M29" s="8"/>
      <c r="N29" s="7"/>
    </row>
    <row r="30" spans="1:14" ht="34.200000000000003" x14ac:dyDescent="0.3">
      <c r="A30" s="40"/>
      <c r="B30" s="54" t="s">
        <v>130</v>
      </c>
      <c r="C30" s="40">
        <v>2</v>
      </c>
      <c r="D30" s="40" t="s">
        <v>42</v>
      </c>
      <c r="E30" s="65">
        <v>3100000</v>
      </c>
      <c r="F30" s="64">
        <f t="shared" ref="F30" si="5">E30*C30</f>
        <v>6200000</v>
      </c>
      <c r="G30" s="41">
        <v>50000</v>
      </c>
      <c r="H30" s="41">
        <f t="shared" ref="H30" si="6">G30</f>
        <v>50000</v>
      </c>
      <c r="I30" s="43">
        <f>SUM(H30,F30)</f>
        <v>6250000</v>
      </c>
      <c r="K30" s="7"/>
      <c r="L30" s="7"/>
      <c r="M30" s="8"/>
      <c r="N30" s="7"/>
    </row>
    <row r="31" spans="1:14" x14ac:dyDescent="0.3">
      <c r="A31" s="40">
        <v>3</v>
      </c>
      <c r="B31" s="88" t="s">
        <v>59</v>
      </c>
      <c r="C31" s="40"/>
      <c r="D31" s="40"/>
      <c r="E31" s="52"/>
      <c r="F31" s="52"/>
      <c r="G31" s="52"/>
      <c r="H31" s="52"/>
      <c r="I31" s="53"/>
      <c r="K31" s="7"/>
      <c r="L31" s="7"/>
      <c r="M31" s="8"/>
      <c r="N31" s="7"/>
    </row>
    <row r="32" spans="1:14" ht="34.200000000000003" x14ac:dyDescent="0.3">
      <c r="A32" s="40"/>
      <c r="B32" s="54" t="s">
        <v>128</v>
      </c>
      <c r="C32" s="40">
        <v>3</v>
      </c>
      <c r="D32" s="40" t="s">
        <v>42</v>
      </c>
      <c r="E32" s="65">
        <v>310000</v>
      </c>
      <c r="F32" s="64">
        <f t="shared" ref="F32" si="7">E32*C32</f>
        <v>930000</v>
      </c>
      <c r="G32" s="41">
        <v>20000</v>
      </c>
      <c r="H32" s="41">
        <f t="shared" ref="H32" si="8">G32</f>
        <v>20000</v>
      </c>
      <c r="I32" s="43">
        <f>SUM(H32,F32)</f>
        <v>950000</v>
      </c>
      <c r="K32" s="7"/>
      <c r="L32" s="7"/>
      <c r="M32" s="8"/>
      <c r="N32" s="7"/>
    </row>
    <row r="33" spans="1:14" x14ac:dyDescent="0.3">
      <c r="A33" s="40"/>
      <c r="B33" s="54" t="s">
        <v>75</v>
      </c>
      <c r="C33" s="40">
        <v>3</v>
      </c>
      <c r="D33" s="40" t="s">
        <v>5</v>
      </c>
      <c r="E33" s="65">
        <v>20000</v>
      </c>
      <c r="F33" s="64">
        <f t="shared" ref="F33" si="9">E33*C33</f>
        <v>60000</v>
      </c>
      <c r="G33" s="41">
        <v>15000</v>
      </c>
      <c r="H33" s="41">
        <f t="shared" ref="H33" si="10">G33</f>
        <v>15000</v>
      </c>
      <c r="I33" s="43">
        <f>SUM(H33,F33)</f>
        <v>75000</v>
      </c>
      <c r="K33" s="7"/>
      <c r="L33" s="7"/>
      <c r="M33" s="8"/>
      <c r="N33" s="7"/>
    </row>
    <row r="34" spans="1:14" x14ac:dyDescent="0.25">
      <c r="A34" s="40"/>
      <c r="B34" s="99" t="s">
        <v>73</v>
      </c>
      <c r="C34" s="69" t="s">
        <v>151</v>
      </c>
      <c r="D34" s="40" t="s">
        <v>5</v>
      </c>
      <c r="E34" s="65">
        <v>170000</v>
      </c>
      <c r="F34" s="64">
        <f t="shared" ref="F34:F35" si="11">E34*C34</f>
        <v>510000</v>
      </c>
      <c r="G34" s="41">
        <v>100000</v>
      </c>
      <c r="H34" s="41">
        <f t="shared" ref="H34:H35" si="12">G34</f>
        <v>100000</v>
      </c>
      <c r="I34" s="43">
        <f>SUM(H34,F34)</f>
        <v>610000</v>
      </c>
      <c r="K34" s="7"/>
      <c r="L34" s="7"/>
      <c r="M34" s="8"/>
      <c r="N34" s="7"/>
    </row>
    <row r="35" spans="1:14" x14ac:dyDescent="0.25">
      <c r="A35" s="40"/>
      <c r="B35" s="100" t="s">
        <v>74</v>
      </c>
      <c r="C35" s="69" t="s">
        <v>151</v>
      </c>
      <c r="D35" s="40" t="s">
        <v>5</v>
      </c>
      <c r="E35" s="65">
        <v>75000</v>
      </c>
      <c r="F35" s="64">
        <f t="shared" si="11"/>
        <v>225000</v>
      </c>
      <c r="G35" s="41">
        <v>50000</v>
      </c>
      <c r="H35" s="41">
        <f t="shared" si="12"/>
        <v>50000</v>
      </c>
      <c r="I35" s="43">
        <f t="shared" ref="I35" si="13">SUM(H35,F35)</f>
        <v>275000</v>
      </c>
      <c r="K35" s="7"/>
      <c r="L35" s="7"/>
      <c r="M35" s="8"/>
      <c r="N35" s="7"/>
    </row>
    <row r="36" spans="1:14" ht="14.4" x14ac:dyDescent="0.3">
      <c r="A36" s="40"/>
      <c r="B36" s="68"/>
      <c r="C36" s="69"/>
      <c r="D36" s="40"/>
      <c r="E36" s="65"/>
      <c r="F36" s="64"/>
      <c r="G36" s="41"/>
      <c r="H36" s="41"/>
      <c r="I36" s="43"/>
      <c r="K36" s="7"/>
      <c r="L36" s="7"/>
      <c r="M36" s="8"/>
      <c r="N36" s="7"/>
    </row>
    <row r="37" spans="1:14" x14ac:dyDescent="0.25">
      <c r="A37" s="40">
        <v>4</v>
      </c>
      <c r="B37" s="88" t="s">
        <v>101</v>
      </c>
      <c r="C37" s="69"/>
      <c r="D37" s="40"/>
      <c r="E37" s="65"/>
      <c r="F37" s="64"/>
      <c r="G37" s="41"/>
      <c r="H37" s="41"/>
      <c r="I37" s="43"/>
      <c r="K37" s="7"/>
      <c r="L37" s="7"/>
      <c r="M37" s="8"/>
      <c r="N37" s="7"/>
    </row>
    <row r="38" spans="1:14" x14ac:dyDescent="0.25">
      <c r="A38" s="40"/>
      <c r="B38" s="55" t="s">
        <v>58</v>
      </c>
      <c r="C38" s="69" t="s">
        <v>152</v>
      </c>
      <c r="D38" s="40" t="s">
        <v>18</v>
      </c>
      <c r="E38" s="85">
        <v>3000</v>
      </c>
      <c r="F38" s="52">
        <f t="shared" ref="F38" si="14">SUM(C38*E38)</f>
        <v>105000</v>
      </c>
      <c r="G38" s="52">
        <v>2500</v>
      </c>
      <c r="H38" s="52">
        <f>SUM(C38*G38)</f>
        <v>87500</v>
      </c>
      <c r="I38" s="43">
        <f>SUM(H38,F38)</f>
        <v>192500</v>
      </c>
      <c r="K38" s="7"/>
      <c r="L38" s="7"/>
      <c r="M38" s="8"/>
      <c r="N38" s="7"/>
    </row>
    <row r="39" spans="1:14" x14ac:dyDescent="0.25">
      <c r="A39" s="40"/>
      <c r="B39" s="55" t="s">
        <v>21</v>
      </c>
      <c r="C39" s="69" t="s">
        <v>153</v>
      </c>
      <c r="D39" s="40" t="s">
        <v>18</v>
      </c>
      <c r="E39" s="85">
        <v>2000</v>
      </c>
      <c r="F39" s="52">
        <f>SUM(C39*E39)</f>
        <v>30000</v>
      </c>
      <c r="G39" s="52">
        <v>2000</v>
      </c>
      <c r="H39" s="52">
        <f>SUM(C39*G39)</f>
        <v>30000</v>
      </c>
      <c r="I39" s="43">
        <f t="shared" ref="I39:I40" si="15">SUM(H39,F39)</f>
        <v>60000</v>
      </c>
      <c r="K39" s="7"/>
      <c r="L39" s="7"/>
      <c r="M39" s="8"/>
      <c r="N39" s="7"/>
    </row>
    <row r="40" spans="1:14" x14ac:dyDescent="0.25">
      <c r="A40" s="40"/>
      <c r="B40" s="55" t="s">
        <v>33</v>
      </c>
      <c r="C40" s="69" t="s">
        <v>154</v>
      </c>
      <c r="D40" s="40" t="s">
        <v>18</v>
      </c>
      <c r="E40" s="85">
        <v>500</v>
      </c>
      <c r="F40" s="52">
        <f>SUM(C40*E40)</f>
        <v>4000</v>
      </c>
      <c r="G40" s="52">
        <v>500</v>
      </c>
      <c r="H40" s="52">
        <f>SUM(C40*G40)</f>
        <v>4000</v>
      </c>
      <c r="I40" s="43">
        <f t="shared" si="15"/>
        <v>8000</v>
      </c>
      <c r="K40" s="7"/>
      <c r="L40" s="7"/>
      <c r="M40" s="8"/>
      <c r="N40" s="7"/>
    </row>
    <row r="41" spans="1:14" x14ac:dyDescent="0.3">
      <c r="A41" s="40">
        <v>5</v>
      </c>
      <c r="B41" s="88" t="s">
        <v>41</v>
      </c>
      <c r="C41" s="40"/>
      <c r="D41" s="40"/>
      <c r="E41" s="52"/>
      <c r="F41" s="52"/>
      <c r="G41" s="52"/>
      <c r="H41" s="56"/>
      <c r="I41" s="42"/>
      <c r="K41" s="7"/>
      <c r="L41" s="7"/>
      <c r="M41" s="8"/>
      <c r="N41" s="7"/>
    </row>
    <row r="42" spans="1:14" x14ac:dyDescent="0.3">
      <c r="A42" s="40"/>
      <c r="B42" s="54" t="s">
        <v>27</v>
      </c>
      <c r="C42" s="40"/>
      <c r="D42" s="40"/>
      <c r="E42" s="52"/>
      <c r="F42" s="52"/>
      <c r="G42" s="52"/>
      <c r="H42" s="56"/>
      <c r="I42" s="53"/>
      <c r="K42" s="7"/>
      <c r="L42" s="7"/>
      <c r="M42" s="8"/>
      <c r="N42" s="7"/>
    </row>
    <row r="43" spans="1:14" x14ac:dyDescent="0.3">
      <c r="A43" s="40"/>
      <c r="B43" s="55" t="s">
        <v>58</v>
      </c>
      <c r="C43" s="40">
        <v>20</v>
      </c>
      <c r="D43" s="40" t="s">
        <v>42</v>
      </c>
      <c r="E43" s="52">
        <v>1550</v>
      </c>
      <c r="F43" s="52">
        <f t="shared" ref="F43" si="16">SUM(C43*E43)</f>
        <v>31000</v>
      </c>
      <c r="G43" s="52">
        <v>800</v>
      </c>
      <c r="H43" s="52">
        <f t="shared" ref="H43" si="17">SUM(C43*G43)</f>
        <v>16000</v>
      </c>
      <c r="I43" s="43">
        <f t="shared" ref="I43:I45" si="18">SUM(H43,F43)</f>
        <v>47000</v>
      </c>
      <c r="K43" s="7"/>
      <c r="L43" s="7"/>
      <c r="M43" s="8"/>
      <c r="N43" s="7"/>
    </row>
    <row r="44" spans="1:14" x14ac:dyDescent="0.3">
      <c r="A44" s="40"/>
      <c r="B44" s="55" t="s">
        <v>21</v>
      </c>
      <c r="C44" s="40">
        <v>3</v>
      </c>
      <c r="D44" s="40" t="s">
        <v>42</v>
      </c>
      <c r="E44" s="52">
        <v>1550</v>
      </c>
      <c r="F44" s="52">
        <f>SUM(C44*E44)</f>
        <v>4650</v>
      </c>
      <c r="G44" s="52">
        <v>700</v>
      </c>
      <c r="H44" s="52">
        <f>SUM(C44*G44)</f>
        <v>2100</v>
      </c>
      <c r="I44" s="43">
        <f t="shared" si="18"/>
        <v>6750</v>
      </c>
      <c r="K44" s="7"/>
      <c r="L44" s="7"/>
      <c r="M44" s="8"/>
      <c r="N44" s="7"/>
    </row>
    <row r="45" spans="1:14" x14ac:dyDescent="0.3">
      <c r="A45" s="40"/>
      <c r="B45" s="55" t="s">
        <v>33</v>
      </c>
      <c r="C45" s="40">
        <v>3</v>
      </c>
      <c r="D45" s="40" t="s">
        <v>42</v>
      </c>
      <c r="E45" s="52">
        <v>600</v>
      </c>
      <c r="F45" s="52">
        <f>SUM(C45*E45)</f>
        <v>1800</v>
      </c>
      <c r="G45" s="52">
        <v>400</v>
      </c>
      <c r="H45" s="52">
        <f>SUM(C45*G45)</f>
        <v>1200</v>
      </c>
      <c r="I45" s="43">
        <f t="shared" si="18"/>
        <v>3000</v>
      </c>
      <c r="K45" s="7"/>
      <c r="L45" s="7"/>
      <c r="M45" s="8"/>
      <c r="N45" s="7"/>
    </row>
    <row r="46" spans="1:14" x14ac:dyDescent="0.3">
      <c r="A46" s="40"/>
      <c r="B46" s="53" t="s">
        <v>40</v>
      </c>
      <c r="C46" s="40"/>
      <c r="D46" s="40"/>
      <c r="E46" s="60"/>
      <c r="F46" s="60"/>
      <c r="G46" s="60"/>
      <c r="H46" s="60"/>
      <c r="I46" s="42"/>
      <c r="K46" s="7"/>
      <c r="L46" s="7"/>
      <c r="M46" s="8"/>
      <c r="N46" s="7"/>
    </row>
    <row r="47" spans="1:14" x14ac:dyDescent="0.3">
      <c r="A47" s="40"/>
      <c r="B47" s="55" t="s">
        <v>58</v>
      </c>
      <c r="C47" s="40">
        <v>15</v>
      </c>
      <c r="D47" s="40" t="s">
        <v>42</v>
      </c>
      <c r="E47" s="60">
        <v>3000</v>
      </c>
      <c r="F47" s="52">
        <f t="shared" ref="F47" si="19">SUM(C47*E47)</f>
        <v>45000</v>
      </c>
      <c r="G47" s="52">
        <v>800</v>
      </c>
      <c r="H47" s="52">
        <f t="shared" ref="H47" si="20">SUM(C47*G47)</f>
        <v>12000</v>
      </c>
      <c r="I47" s="42">
        <f t="shared" ref="I47" si="21">SUM(F47+H47)</f>
        <v>57000</v>
      </c>
      <c r="K47" s="7"/>
      <c r="L47" s="7"/>
      <c r="M47" s="8"/>
      <c r="N47" s="7"/>
    </row>
    <row r="48" spans="1:14" x14ac:dyDescent="0.3">
      <c r="A48" s="40"/>
      <c r="B48" s="53" t="s">
        <v>132</v>
      </c>
      <c r="C48" s="40"/>
      <c r="D48" s="40"/>
      <c r="E48" s="60"/>
      <c r="F48" s="60"/>
      <c r="G48" s="60"/>
      <c r="H48" s="60"/>
      <c r="I48" s="42"/>
      <c r="K48" s="7"/>
      <c r="L48" s="7"/>
      <c r="M48" s="8"/>
      <c r="N48" s="7"/>
    </row>
    <row r="49" spans="1:14" x14ac:dyDescent="0.3">
      <c r="A49" s="40"/>
      <c r="B49" s="55" t="s">
        <v>133</v>
      </c>
      <c r="C49" s="40">
        <v>3</v>
      </c>
      <c r="D49" s="40" t="s">
        <v>42</v>
      </c>
      <c r="E49" s="60">
        <v>2500</v>
      </c>
      <c r="F49" s="52">
        <f t="shared" ref="F49" si="22">SUM(C49*E49)</f>
        <v>7500</v>
      </c>
      <c r="G49" s="52">
        <v>800</v>
      </c>
      <c r="H49" s="52">
        <f t="shared" ref="H49" si="23">SUM(C49*G49)</f>
        <v>2400</v>
      </c>
      <c r="I49" s="42">
        <f t="shared" ref="I49" si="24">SUM(F49+H49)</f>
        <v>9900</v>
      </c>
      <c r="K49" s="7"/>
      <c r="L49" s="7"/>
      <c r="M49" s="8"/>
      <c r="N49" s="7"/>
    </row>
    <row r="50" spans="1:14" x14ac:dyDescent="0.3">
      <c r="A50" s="40"/>
      <c r="B50" s="55" t="s">
        <v>131</v>
      </c>
      <c r="C50" s="40">
        <v>3</v>
      </c>
      <c r="D50" s="40" t="s">
        <v>42</v>
      </c>
      <c r="E50" s="60">
        <v>600</v>
      </c>
      <c r="F50" s="52">
        <f t="shared" ref="F50" si="25">SUM(C50*E50)</f>
        <v>1800</v>
      </c>
      <c r="G50" s="52">
        <v>400</v>
      </c>
      <c r="H50" s="52">
        <f t="shared" ref="H50" si="26">SUM(C50*G50)</f>
        <v>1200</v>
      </c>
      <c r="I50" s="42">
        <f t="shared" ref="I50" si="27">SUM(F50+H50)</f>
        <v>3000</v>
      </c>
      <c r="K50" s="7"/>
      <c r="L50" s="7"/>
      <c r="M50" s="8"/>
      <c r="N50" s="7"/>
    </row>
    <row r="51" spans="1:14" x14ac:dyDescent="0.3">
      <c r="A51" s="40">
        <v>6</v>
      </c>
      <c r="B51" s="88" t="s">
        <v>135</v>
      </c>
      <c r="C51" s="40"/>
      <c r="D51" s="40"/>
      <c r="E51" s="60"/>
      <c r="F51" s="52"/>
      <c r="G51" s="52"/>
      <c r="H51" s="52"/>
      <c r="I51" s="42"/>
      <c r="K51" s="7"/>
      <c r="L51" s="7"/>
      <c r="M51" s="8"/>
      <c r="N51" s="7"/>
    </row>
    <row r="52" spans="1:14" x14ac:dyDescent="0.3">
      <c r="A52" s="40"/>
      <c r="B52" s="55" t="s">
        <v>136</v>
      </c>
      <c r="C52" s="40"/>
      <c r="D52" s="40"/>
      <c r="E52" s="60"/>
      <c r="F52" s="52"/>
      <c r="G52" s="52"/>
      <c r="H52" s="52"/>
      <c r="I52" s="42"/>
      <c r="K52" s="7"/>
      <c r="L52" s="7"/>
      <c r="M52" s="8"/>
      <c r="N52" s="7"/>
    </row>
    <row r="53" spans="1:14" x14ac:dyDescent="0.3">
      <c r="A53" s="40"/>
      <c r="B53" s="55" t="s">
        <v>58</v>
      </c>
      <c r="C53" s="40">
        <v>800</v>
      </c>
      <c r="D53" s="40" t="s">
        <v>18</v>
      </c>
      <c r="E53" s="52">
        <v>2000</v>
      </c>
      <c r="F53" s="52">
        <f>SUM(C53*E53)</f>
        <v>1600000</v>
      </c>
      <c r="G53" s="52">
        <v>1000</v>
      </c>
      <c r="H53" s="52">
        <f>SUM(C53*G53)</f>
        <v>800000</v>
      </c>
      <c r="I53" s="42">
        <f>SUM(F53+H53)</f>
        <v>2400000</v>
      </c>
      <c r="K53" s="7"/>
      <c r="L53" s="7"/>
      <c r="M53" s="8"/>
      <c r="N53" s="7"/>
    </row>
    <row r="54" spans="1:14" x14ac:dyDescent="0.3">
      <c r="A54" s="40"/>
      <c r="B54" s="55" t="s">
        <v>21</v>
      </c>
      <c r="C54" s="40">
        <v>500</v>
      </c>
      <c r="D54" s="40" t="s">
        <v>18</v>
      </c>
      <c r="E54" s="52">
        <v>1000</v>
      </c>
      <c r="F54" s="52">
        <f t="shared" ref="F54" si="28">SUM(C54*E54)</f>
        <v>500000</v>
      </c>
      <c r="G54" s="52">
        <v>500</v>
      </c>
      <c r="H54" s="52">
        <f t="shared" ref="H54" si="29">SUM(C54*G54)</f>
        <v>250000</v>
      </c>
      <c r="I54" s="42">
        <f t="shared" ref="I54:I55" si="30">SUM(F54+H54)</f>
        <v>750000</v>
      </c>
      <c r="K54" s="7"/>
      <c r="L54" s="7"/>
      <c r="M54" s="8"/>
      <c r="N54" s="7"/>
    </row>
    <row r="55" spans="1:14" x14ac:dyDescent="0.3">
      <c r="A55" s="40"/>
      <c r="B55" s="55" t="s">
        <v>32</v>
      </c>
      <c r="C55" s="40">
        <v>70</v>
      </c>
      <c r="D55" s="40" t="s">
        <v>18</v>
      </c>
      <c r="E55" s="52">
        <v>500</v>
      </c>
      <c r="F55" s="52">
        <f t="shared" ref="F55" si="31">SUM(C55*E55)</f>
        <v>35000</v>
      </c>
      <c r="G55" s="52">
        <v>350</v>
      </c>
      <c r="H55" s="52">
        <f t="shared" ref="H55" si="32">SUM(C55*G55)</f>
        <v>24500</v>
      </c>
      <c r="I55" s="42">
        <f t="shared" si="30"/>
        <v>59500</v>
      </c>
      <c r="K55" s="7"/>
      <c r="L55" s="7"/>
      <c r="M55" s="8"/>
      <c r="N55" s="7"/>
    </row>
    <row r="56" spans="1:14" x14ac:dyDescent="0.3">
      <c r="A56" s="40"/>
      <c r="B56" s="54" t="s">
        <v>27</v>
      </c>
      <c r="C56" s="40"/>
      <c r="D56" s="40"/>
      <c r="E56" s="60"/>
      <c r="F56" s="52"/>
      <c r="G56" s="52"/>
      <c r="H56" s="52"/>
      <c r="I56" s="42"/>
      <c r="K56" s="7"/>
      <c r="L56" s="7"/>
      <c r="M56" s="8"/>
      <c r="N56" s="7"/>
    </row>
    <row r="57" spans="1:14" x14ac:dyDescent="0.3">
      <c r="A57" s="40"/>
      <c r="B57" s="55" t="s">
        <v>58</v>
      </c>
      <c r="C57" s="40">
        <v>15</v>
      </c>
      <c r="D57" s="40" t="s">
        <v>42</v>
      </c>
      <c r="E57" s="60">
        <v>3000</v>
      </c>
      <c r="F57" s="52">
        <f t="shared" ref="F57" si="33">SUM(C57*E57)</f>
        <v>45000</v>
      </c>
      <c r="G57" s="52">
        <v>700</v>
      </c>
      <c r="H57" s="52">
        <f t="shared" ref="H57" si="34">SUM(C57*G57)</f>
        <v>10500</v>
      </c>
      <c r="I57" s="42">
        <f>SUM(F57+H57)</f>
        <v>55500</v>
      </c>
      <c r="K57" s="7"/>
      <c r="L57" s="7"/>
      <c r="M57" s="8"/>
      <c r="N57" s="7"/>
    </row>
    <row r="58" spans="1:14" x14ac:dyDescent="0.3">
      <c r="A58" s="40"/>
      <c r="B58" s="55" t="s">
        <v>21</v>
      </c>
      <c r="C58" s="40">
        <v>22</v>
      </c>
      <c r="D58" s="40" t="s">
        <v>42</v>
      </c>
      <c r="E58" s="60">
        <v>1000</v>
      </c>
      <c r="F58" s="52">
        <f t="shared" ref="F58:F59" si="35">SUM(C58*E58)</f>
        <v>22000</v>
      </c>
      <c r="G58" s="52">
        <v>600</v>
      </c>
      <c r="H58" s="52">
        <f t="shared" ref="H58:H59" si="36">SUM(C58*G58)</f>
        <v>13200</v>
      </c>
      <c r="I58" s="42">
        <f t="shared" ref="I58:I59" si="37">SUM(F58+H58)</f>
        <v>35200</v>
      </c>
      <c r="K58" s="7"/>
      <c r="L58" s="7"/>
      <c r="M58" s="8"/>
      <c r="N58" s="7"/>
    </row>
    <row r="59" spans="1:14" x14ac:dyDescent="0.3">
      <c r="A59" s="40"/>
      <c r="B59" s="55" t="s">
        <v>32</v>
      </c>
      <c r="C59" s="40">
        <v>55</v>
      </c>
      <c r="D59" s="40" t="s">
        <v>42</v>
      </c>
      <c r="E59" s="60">
        <v>500</v>
      </c>
      <c r="F59" s="52">
        <f t="shared" si="35"/>
        <v>27500</v>
      </c>
      <c r="G59" s="52">
        <v>350</v>
      </c>
      <c r="H59" s="52">
        <f t="shared" si="36"/>
        <v>19250</v>
      </c>
      <c r="I59" s="42">
        <f t="shared" si="37"/>
        <v>46750</v>
      </c>
      <c r="K59" s="7"/>
      <c r="L59" s="7"/>
      <c r="M59" s="8"/>
      <c r="N59" s="7"/>
    </row>
    <row r="60" spans="1:14" x14ac:dyDescent="0.3">
      <c r="A60" s="40"/>
      <c r="B60" s="54" t="s">
        <v>141</v>
      </c>
      <c r="C60" s="40"/>
      <c r="D60" s="40"/>
      <c r="E60" s="60"/>
      <c r="F60" s="52"/>
      <c r="G60" s="52"/>
      <c r="H60" s="52"/>
      <c r="I60" s="42"/>
      <c r="K60" s="7"/>
      <c r="L60" s="7"/>
      <c r="M60" s="8"/>
      <c r="N60" s="7"/>
    </row>
    <row r="61" spans="1:14" x14ac:dyDescent="0.3">
      <c r="A61" s="40"/>
      <c r="B61" s="55" t="s">
        <v>58</v>
      </c>
      <c r="C61" s="40">
        <v>12</v>
      </c>
      <c r="D61" s="40" t="s">
        <v>42</v>
      </c>
      <c r="E61" s="60">
        <v>2000</v>
      </c>
      <c r="F61" s="52">
        <f t="shared" ref="F61:F63" si="38">SUM(C61*E61)</f>
        <v>24000</v>
      </c>
      <c r="G61" s="52">
        <v>700</v>
      </c>
      <c r="H61" s="52">
        <f t="shared" ref="H61:H63" si="39">SUM(C61*G61)</f>
        <v>8400</v>
      </c>
      <c r="I61" s="42">
        <f>SUM(F61+H61)</f>
        <v>32400</v>
      </c>
      <c r="K61" s="7"/>
      <c r="L61" s="7"/>
      <c r="M61" s="8"/>
      <c r="N61" s="7"/>
    </row>
    <row r="62" spans="1:14" x14ac:dyDescent="0.3">
      <c r="A62" s="40"/>
      <c r="B62" s="55" t="s">
        <v>21</v>
      </c>
      <c r="C62" s="40">
        <v>15</v>
      </c>
      <c r="D62" s="40" t="s">
        <v>42</v>
      </c>
      <c r="E62" s="60">
        <v>1000</v>
      </c>
      <c r="F62" s="52">
        <f t="shared" si="38"/>
        <v>15000</v>
      </c>
      <c r="G62" s="52">
        <v>600</v>
      </c>
      <c r="H62" s="52">
        <f t="shared" si="39"/>
        <v>9000</v>
      </c>
      <c r="I62" s="42">
        <f t="shared" ref="I62:I63" si="40">SUM(F62+H62)</f>
        <v>24000</v>
      </c>
      <c r="K62" s="7"/>
      <c r="L62" s="7"/>
      <c r="M62" s="8"/>
      <c r="N62" s="7"/>
    </row>
    <row r="63" spans="1:14" x14ac:dyDescent="0.3">
      <c r="A63" s="40"/>
      <c r="B63" s="55" t="s">
        <v>32</v>
      </c>
      <c r="C63" s="40">
        <v>13</v>
      </c>
      <c r="D63" s="40" t="s">
        <v>42</v>
      </c>
      <c r="E63" s="60">
        <v>450</v>
      </c>
      <c r="F63" s="52">
        <f t="shared" si="38"/>
        <v>5850</v>
      </c>
      <c r="G63" s="52">
        <v>350</v>
      </c>
      <c r="H63" s="52">
        <f t="shared" si="39"/>
        <v>4550</v>
      </c>
      <c r="I63" s="42">
        <f t="shared" si="40"/>
        <v>10400</v>
      </c>
      <c r="K63" s="7"/>
      <c r="L63" s="7"/>
      <c r="M63" s="8"/>
      <c r="N63" s="7"/>
    </row>
    <row r="64" spans="1:14" x14ac:dyDescent="0.3">
      <c r="A64" s="40"/>
      <c r="B64" s="54" t="s">
        <v>29</v>
      </c>
      <c r="C64" s="40"/>
      <c r="D64" s="40"/>
      <c r="E64" s="60"/>
      <c r="F64" s="52"/>
      <c r="G64" s="52"/>
      <c r="H64" s="52"/>
      <c r="I64" s="42"/>
      <c r="K64" s="7"/>
      <c r="L64" s="7"/>
      <c r="M64" s="8"/>
      <c r="N64" s="7"/>
    </row>
    <row r="65" spans="1:14" x14ac:dyDescent="0.3">
      <c r="A65" s="40"/>
      <c r="B65" s="55" t="s">
        <v>137</v>
      </c>
      <c r="C65" s="40">
        <v>35</v>
      </c>
      <c r="D65" s="40" t="s">
        <v>42</v>
      </c>
      <c r="E65" s="60">
        <v>4000</v>
      </c>
      <c r="F65" s="52">
        <f t="shared" ref="F65:F67" si="41">SUM(C65*E65)</f>
        <v>140000</v>
      </c>
      <c r="G65" s="52">
        <v>700</v>
      </c>
      <c r="H65" s="52">
        <f t="shared" ref="H65:H67" si="42">SUM(C65*G65)</f>
        <v>24500</v>
      </c>
      <c r="I65" s="42">
        <f>SUM(F65+H65)</f>
        <v>164500</v>
      </c>
      <c r="K65" s="7"/>
      <c r="L65" s="7"/>
      <c r="M65" s="8"/>
      <c r="N65" s="7"/>
    </row>
    <row r="66" spans="1:14" x14ac:dyDescent="0.3">
      <c r="A66" s="40"/>
      <c r="B66" s="55" t="s">
        <v>138</v>
      </c>
      <c r="C66" s="40">
        <v>28</v>
      </c>
      <c r="D66" s="40" t="s">
        <v>42</v>
      </c>
      <c r="E66" s="60">
        <v>1500</v>
      </c>
      <c r="F66" s="52">
        <f t="shared" si="41"/>
        <v>42000</v>
      </c>
      <c r="G66" s="52">
        <v>600</v>
      </c>
      <c r="H66" s="52">
        <f t="shared" si="42"/>
        <v>16800</v>
      </c>
      <c r="I66" s="42">
        <f t="shared" ref="I66:I67" si="43">SUM(F66+H66)</f>
        <v>58800</v>
      </c>
      <c r="K66" s="7"/>
      <c r="L66" s="7"/>
      <c r="M66" s="8"/>
      <c r="N66" s="7"/>
    </row>
    <row r="67" spans="1:14" x14ac:dyDescent="0.3">
      <c r="A67" s="40"/>
      <c r="B67" s="54" t="s">
        <v>139</v>
      </c>
      <c r="C67" s="40">
        <v>35</v>
      </c>
      <c r="D67" s="40" t="s">
        <v>42</v>
      </c>
      <c r="E67" s="60"/>
      <c r="F67" s="52">
        <f t="shared" si="41"/>
        <v>0</v>
      </c>
      <c r="G67" s="52">
        <v>352</v>
      </c>
      <c r="H67" s="52">
        <f t="shared" si="42"/>
        <v>12320</v>
      </c>
      <c r="I67" s="42">
        <f t="shared" si="43"/>
        <v>12320</v>
      </c>
      <c r="K67" s="7"/>
      <c r="L67" s="7"/>
      <c r="M67" s="8"/>
      <c r="N67" s="7"/>
    </row>
    <row r="68" spans="1:14" x14ac:dyDescent="0.3">
      <c r="A68" s="40"/>
      <c r="B68" s="54" t="s">
        <v>140</v>
      </c>
      <c r="C68" s="40">
        <v>25</v>
      </c>
      <c r="D68" s="40" t="s">
        <v>42</v>
      </c>
      <c r="E68" s="60"/>
      <c r="F68" s="52">
        <f t="shared" ref="F68" si="44">SUM(C68*E68)</f>
        <v>0</v>
      </c>
      <c r="G68" s="52">
        <v>353</v>
      </c>
      <c r="H68" s="52">
        <f t="shared" ref="H68" si="45">SUM(C68*G68)</f>
        <v>8825</v>
      </c>
      <c r="I68" s="42">
        <f>SUM(F68+H68)</f>
        <v>8825</v>
      </c>
      <c r="K68" s="7"/>
      <c r="L68" s="7"/>
      <c r="M68" s="8"/>
      <c r="N68" s="7"/>
    </row>
    <row r="69" spans="1:14" x14ac:dyDescent="0.3">
      <c r="A69" s="40">
        <v>7</v>
      </c>
      <c r="B69" s="88" t="s">
        <v>134</v>
      </c>
      <c r="C69" s="40"/>
      <c r="D69" s="40"/>
      <c r="E69" s="52"/>
      <c r="F69" s="52"/>
      <c r="G69" s="52"/>
      <c r="H69" s="52"/>
      <c r="I69" s="42"/>
      <c r="K69" s="7"/>
      <c r="L69" s="7"/>
      <c r="M69" s="9"/>
    </row>
    <row r="70" spans="1:14" x14ac:dyDescent="0.3">
      <c r="A70" s="40"/>
      <c r="B70" s="55" t="s">
        <v>21</v>
      </c>
      <c r="C70" s="40">
        <v>125</v>
      </c>
      <c r="D70" s="40" t="s">
        <v>18</v>
      </c>
      <c r="E70" s="85">
        <v>1600</v>
      </c>
      <c r="F70" s="52">
        <f>SUM(C70*E70)</f>
        <v>200000</v>
      </c>
      <c r="G70" s="52">
        <v>2000</v>
      </c>
      <c r="H70" s="52">
        <f>SUM(C70*G70)</f>
        <v>250000</v>
      </c>
      <c r="I70" s="43">
        <f t="shared" ref="I70" si="46">SUM(H70,F70)</f>
        <v>450000</v>
      </c>
      <c r="K70" s="87"/>
      <c r="L70" s="86"/>
      <c r="M70" s="9"/>
    </row>
    <row r="71" spans="1:14" x14ac:dyDescent="0.3">
      <c r="A71" s="40"/>
      <c r="B71" s="55" t="s">
        <v>32</v>
      </c>
      <c r="C71" s="40">
        <v>25</v>
      </c>
      <c r="D71" s="40" t="s">
        <v>18</v>
      </c>
      <c r="E71" s="101">
        <v>1000</v>
      </c>
      <c r="F71" s="52">
        <f t="shared" ref="F71:F75" si="47">SUM(C71*E71)</f>
        <v>25000</v>
      </c>
      <c r="G71" s="102">
        <v>600</v>
      </c>
      <c r="H71" s="52">
        <f>SUM(C71*G71)</f>
        <v>15000</v>
      </c>
      <c r="I71" s="42">
        <f t="shared" ref="I71:I72" si="48">SUM(F71+H71)</f>
        <v>40000</v>
      </c>
      <c r="K71" s="87"/>
      <c r="L71" s="86"/>
      <c r="M71" s="9"/>
    </row>
    <row r="72" spans="1:14" x14ac:dyDescent="0.3">
      <c r="A72" s="40"/>
      <c r="B72" s="55" t="s">
        <v>33</v>
      </c>
      <c r="C72" s="40">
        <v>30</v>
      </c>
      <c r="D72" s="40" t="s">
        <v>18</v>
      </c>
      <c r="E72" s="101">
        <v>600</v>
      </c>
      <c r="F72" s="52">
        <f t="shared" si="47"/>
        <v>18000</v>
      </c>
      <c r="G72" s="102">
        <v>500</v>
      </c>
      <c r="H72" s="52">
        <f t="shared" ref="H72:H75" si="49">SUM(C72*G72)</f>
        <v>15000</v>
      </c>
      <c r="I72" s="42">
        <f t="shared" si="48"/>
        <v>33000</v>
      </c>
      <c r="K72" s="87"/>
      <c r="L72" s="86"/>
      <c r="M72" s="9"/>
    </row>
    <row r="73" spans="1:14" x14ac:dyDescent="0.3">
      <c r="A73" s="40"/>
      <c r="B73" s="55" t="s">
        <v>24</v>
      </c>
      <c r="C73" s="40">
        <v>105</v>
      </c>
      <c r="D73" s="40" t="s">
        <v>18</v>
      </c>
      <c r="E73" s="101">
        <v>400</v>
      </c>
      <c r="F73" s="52">
        <f t="shared" si="47"/>
        <v>42000</v>
      </c>
      <c r="G73" s="102">
        <v>400</v>
      </c>
      <c r="H73" s="52">
        <f t="shared" si="49"/>
        <v>42000</v>
      </c>
      <c r="I73" s="42">
        <f>SUM(F73+H73)</f>
        <v>84000</v>
      </c>
      <c r="K73" s="87"/>
      <c r="L73" s="86"/>
      <c r="M73" s="9"/>
    </row>
    <row r="74" spans="1:14" x14ac:dyDescent="0.3">
      <c r="A74" s="40"/>
      <c r="B74" s="55" t="s">
        <v>34</v>
      </c>
      <c r="C74" s="40">
        <v>115</v>
      </c>
      <c r="D74" s="40" t="s">
        <v>18</v>
      </c>
      <c r="E74" s="101">
        <v>350</v>
      </c>
      <c r="F74" s="52">
        <f t="shared" si="47"/>
        <v>40250</v>
      </c>
      <c r="G74" s="102">
        <v>300</v>
      </c>
      <c r="H74" s="52">
        <f t="shared" si="49"/>
        <v>34500</v>
      </c>
      <c r="I74" s="42">
        <f>SUM(F74+H74)</f>
        <v>74750</v>
      </c>
      <c r="K74" s="87"/>
      <c r="L74" s="86"/>
      <c r="M74" s="9"/>
    </row>
    <row r="75" spans="1:14" x14ac:dyDescent="0.3">
      <c r="A75" s="40"/>
      <c r="B75" s="55" t="s">
        <v>35</v>
      </c>
      <c r="C75" s="40">
        <v>220</v>
      </c>
      <c r="D75" s="40" t="s">
        <v>18</v>
      </c>
      <c r="E75" s="101">
        <v>500</v>
      </c>
      <c r="F75" s="52">
        <f t="shared" si="47"/>
        <v>110000</v>
      </c>
      <c r="G75" s="102">
        <v>250</v>
      </c>
      <c r="H75" s="52">
        <f t="shared" si="49"/>
        <v>55000</v>
      </c>
      <c r="I75" s="42">
        <f t="shared" ref="I75" si="50">SUM(F75+H75)</f>
        <v>165000</v>
      </c>
      <c r="K75" s="87"/>
      <c r="L75" s="86"/>
      <c r="M75" s="9"/>
    </row>
    <row r="76" spans="1:14" x14ac:dyDescent="0.3">
      <c r="A76" s="40"/>
      <c r="B76" s="55"/>
      <c r="C76" s="40"/>
      <c r="D76" s="40"/>
      <c r="E76" s="67"/>
      <c r="F76" s="65"/>
      <c r="G76" s="52"/>
      <c r="H76" s="52"/>
      <c r="I76" s="42"/>
      <c r="K76" s="87"/>
      <c r="L76" s="86"/>
      <c r="M76" s="9"/>
    </row>
    <row r="77" spans="1:14" x14ac:dyDescent="0.3">
      <c r="A77" s="40">
        <v>8</v>
      </c>
      <c r="B77" s="88" t="s">
        <v>41</v>
      </c>
      <c r="C77" s="40"/>
      <c r="D77" s="40"/>
      <c r="E77" s="52"/>
      <c r="F77" s="52"/>
      <c r="G77" s="52"/>
      <c r="H77" s="56"/>
      <c r="I77" s="42"/>
      <c r="K77" s="7"/>
      <c r="L77" s="7"/>
      <c r="M77" s="9"/>
    </row>
    <row r="78" spans="1:14" x14ac:dyDescent="0.3">
      <c r="A78" s="40"/>
      <c r="B78" s="54" t="s">
        <v>148</v>
      </c>
      <c r="C78" s="40">
        <v>3</v>
      </c>
      <c r="D78" s="40" t="s">
        <v>5</v>
      </c>
      <c r="E78" s="52">
        <v>400000</v>
      </c>
      <c r="F78" s="52">
        <f t="shared" ref="F78" si="51">SUM(C78*E78)</f>
        <v>1200000</v>
      </c>
      <c r="G78" s="52">
        <v>250000</v>
      </c>
      <c r="H78" s="52">
        <f t="shared" ref="H78" si="52">SUM(C78*G78)</f>
        <v>750000</v>
      </c>
      <c r="I78" s="42">
        <f t="shared" ref="I78" si="53">SUM(F78+H78)</f>
        <v>1950000</v>
      </c>
      <c r="K78" s="7"/>
      <c r="L78" s="7"/>
      <c r="M78" s="9"/>
    </row>
    <row r="79" spans="1:14" x14ac:dyDescent="0.3">
      <c r="A79" s="40"/>
      <c r="B79" s="57"/>
      <c r="C79" s="40"/>
      <c r="D79" s="40"/>
      <c r="E79" s="52"/>
      <c r="F79" s="52"/>
      <c r="G79" s="52"/>
      <c r="H79" s="52"/>
      <c r="I79" s="53"/>
      <c r="K79" s="7"/>
      <c r="L79" s="86"/>
      <c r="M79" s="9"/>
    </row>
    <row r="80" spans="1:14" x14ac:dyDescent="0.3">
      <c r="A80" s="40">
        <v>9</v>
      </c>
      <c r="B80" s="88" t="s">
        <v>20</v>
      </c>
      <c r="C80" s="40"/>
      <c r="D80" s="40"/>
      <c r="E80" s="52"/>
      <c r="F80" s="52"/>
      <c r="G80" s="52"/>
      <c r="H80" s="52"/>
      <c r="I80" s="53"/>
      <c r="K80" s="7"/>
      <c r="L80" s="86"/>
      <c r="M80" s="9"/>
    </row>
    <row r="81" spans="1:13" x14ac:dyDescent="0.3">
      <c r="A81" s="40"/>
      <c r="B81" s="54" t="s">
        <v>142</v>
      </c>
      <c r="C81" s="40">
        <v>400</v>
      </c>
      <c r="D81" s="40" t="s">
        <v>42</v>
      </c>
      <c r="E81" s="52">
        <v>500</v>
      </c>
      <c r="F81" s="52">
        <f t="shared" ref="F81" si="54">SUM(C81*E81)</f>
        <v>200000</v>
      </c>
      <c r="G81" s="52">
        <v>250</v>
      </c>
      <c r="H81" s="52">
        <f t="shared" ref="H81" si="55">SUM(C81*G81)</f>
        <v>100000</v>
      </c>
      <c r="I81" s="42">
        <f t="shared" ref="I81" si="56">SUM(F81+H81)</f>
        <v>300000</v>
      </c>
      <c r="K81" s="7"/>
      <c r="L81" s="86"/>
      <c r="M81" s="9"/>
    </row>
    <row r="82" spans="1:13" x14ac:dyDescent="0.3">
      <c r="A82" s="40"/>
      <c r="B82" s="54"/>
      <c r="C82" s="40"/>
      <c r="D82" s="40"/>
      <c r="E82" s="52"/>
      <c r="F82" s="52"/>
      <c r="G82" s="52"/>
      <c r="H82" s="52"/>
      <c r="I82" s="42"/>
      <c r="K82" s="7"/>
      <c r="L82" s="86"/>
      <c r="M82" s="9"/>
    </row>
    <row r="83" spans="1:13" x14ac:dyDescent="0.3">
      <c r="A83" s="40">
        <v>10</v>
      </c>
      <c r="B83" s="88" t="s">
        <v>25</v>
      </c>
      <c r="C83" s="40"/>
      <c r="D83" s="40"/>
      <c r="E83" s="52"/>
      <c r="F83" s="52"/>
      <c r="G83" s="52"/>
      <c r="H83" s="52"/>
      <c r="I83" s="42"/>
      <c r="K83" s="7"/>
      <c r="L83" s="7"/>
      <c r="M83" s="9"/>
    </row>
    <row r="84" spans="1:13" x14ac:dyDescent="0.3">
      <c r="A84" s="40"/>
      <c r="B84" s="51" t="s">
        <v>52</v>
      </c>
      <c r="C84" s="40"/>
      <c r="D84" s="40"/>
      <c r="E84" s="52"/>
      <c r="F84" s="52"/>
      <c r="G84" s="52"/>
      <c r="H84" s="52"/>
      <c r="I84" s="42"/>
      <c r="K84" s="7"/>
      <c r="L84" s="7"/>
      <c r="M84" s="9"/>
    </row>
    <row r="85" spans="1:13" x14ac:dyDescent="0.3">
      <c r="A85" s="40"/>
      <c r="B85" s="54" t="s">
        <v>43</v>
      </c>
      <c r="C85" s="40"/>
      <c r="D85" s="40"/>
      <c r="E85" s="52"/>
      <c r="F85" s="52"/>
      <c r="G85" s="52"/>
      <c r="H85" s="52"/>
      <c r="I85" s="42"/>
      <c r="K85" s="7"/>
      <c r="L85" s="7"/>
      <c r="M85" s="9"/>
    </row>
    <row r="86" spans="1:13" x14ac:dyDescent="0.3">
      <c r="A86" s="40"/>
      <c r="B86" s="54" t="s">
        <v>63</v>
      </c>
      <c r="C86" s="40">
        <v>10</v>
      </c>
      <c r="D86" s="40" t="s">
        <v>42</v>
      </c>
      <c r="E86" s="52">
        <v>39400</v>
      </c>
      <c r="F86" s="52">
        <f t="shared" ref="F86" si="57">SUM(C86*E86)</f>
        <v>394000</v>
      </c>
      <c r="G86" s="52">
        <v>5000</v>
      </c>
      <c r="H86" s="52">
        <f t="shared" ref="H86" si="58">SUM(C86*G86)</f>
        <v>50000</v>
      </c>
      <c r="I86" s="42">
        <f t="shared" ref="I86" si="59">SUM(F86+H86)</f>
        <v>444000</v>
      </c>
      <c r="K86" s="7"/>
      <c r="L86" s="7"/>
      <c r="M86" s="9"/>
    </row>
    <row r="87" spans="1:13" x14ac:dyDescent="0.3">
      <c r="A87" s="40"/>
      <c r="B87" s="54" t="s">
        <v>105</v>
      </c>
      <c r="C87" s="40"/>
      <c r="D87" s="40"/>
      <c r="E87" s="52"/>
      <c r="F87" s="52"/>
      <c r="G87" s="52"/>
      <c r="H87" s="52"/>
      <c r="I87" s="42"/>
      <c r="K87" s="7"/>
      <c r="L87" s="7"/>
      <c r="M87" s="9"/>
    </row>
    <row r="88" spans="1:13" x14ac:dyDescent="0.3">
      <c r="A88" s="40"/>
      <c r="B88" s="54" t="s">
        <v>71</v>
      </c>
      <c r="C88" s="40">
        <v>3</v>
      </c>
      <c r="D88" s="40" t="s">
        <v>42</v>
      </c>
      <c r="E88" s="52">
        <v>15000</v>
      </c>
      <c r="F88" s="52">
        <f t="shared" ref="F88" si="60">SUM(C88*E88)</f>
        <v>45000</v>
      </c>
      <c r="G88" s="52">
        <v>3000</v>
      </c>
      <c r="H88" s="52">
        <f t="shared" ref="H88" si="61">SUM(C88*G88)</f>
        <v>9000</v>
      </c>
      <c r="I88" s="42">
        <f t="shared" ref="I88" si="62">SUM(F88+H88)</f>
        <v>54000</v>
      </c>
      <c r="K88" s="7"/>
      <c r="L88" s="7"/>
      <c r="M88" s="9"/>
    </row>
    <row r="89" spans="1:13" x14ac:dyDescent="0.3">
      <c r="A89" s="40"/>
      <c r="B89" s="54" t="s">
        <v>28</v>
      </c>
      <c r="C89" s="40">
        <v>3</v>
      </c>
      <c r="D89" s="40" t="s">
        <v>42</v>
      </c>
      <c r="E89" s="52">
        <v>5000</v>
      </c>
      <c r="F89" s="52">
        <f t="shared" ref="F89:F144" si="63">SUM(C89*E89)</f>
        <v>15000</v>
      </c>
      <c r="G89" s="52">
        <v>700</v>
      </c>
      <c r="H89" s="52">
        <f t="shared" ref="H89:H144" si="64">SUM(C89*G89)</f>
        <v>2100</v>
      </c>
      <c r="I89" s="42">
        <f t="shared" ref="I89:I137" si="65">SUM(F89+H89)</f>
        <v>17100</v>
      </c>
      <c r="K89" s="7"/>
      <c r="L89" s="7"/>
      <c r="M89" s="9"/>
    </row>
    <row r="90" spans="1:13" x14ac:dyDescent="0.3">
      <c r="A90" s="40"/>
      <c r="B90" s="54" t="s">
        <v>44</v>
      </c>
      <c r="C90" s="40"/>
      <c r="D90" s="40"/>
      <c r="E90" s="52"/>
      <c r="F90" s="52"/>
      <c r="G90" s="52"/>
      <c r="H90" s="52"/>
      <c r="I90" s="42"/>
      <c r="K90" s="7"/>
      <c r="L90" s="7"/>
      <c r="M90" s="9"/>
    </row>
    <row r="91" spans="1:13" x14ac:dyDescent="0.3">
      <c r="A91" s="40"/>
      <c r="B91" s="54" t="s">
        <v>63</v>
      </c>
      <c r="C91" s="40">
        <v>3</v>
      </c>
      <c r="D91" s="40" t="s">
        <v>42</v>
      </c>
      <c r="E91" s="52">
        <v>35000</v>
      </c>
      <c r="F91" s="52">
        <f t="shared" si="63"/>
        <v>105000</v>
      </c>
      <c r="G91" s="52">
        <v>5000</v>
      </c>
      <c r="H91" s="52">
        <f t="shared" si="64"/>
        <v>15000</v>
      </c>
      <c r="I91" s="42">
        <f t="shared" si="65"/>
        <v>120000</v>
      </c>
      <c r="K91" s="7"/>
      <c r="L91" s="7"/>
      <c r="M91" s="9"/>
    </row>
    <row r="92" spans="1:13" x14ac:dyDescent="0.3">
      <c r="A92" s="40"/>
      <c r="B92" s="54" t="s">
        <v>28</v>
      </c>
      <c r="C92" s="40">
        <v>2</v>
      </c>
      <c r="D92" s="40" t="s">
        <v>42</v>
      </c>
      <c r="E92" s="52">
        <v>6000</v>
      </c>
      <c r="F92" s="52">
        <f t="shared" si="63"/>
        <v>12000</v>
      </c>
      <c r="G92" s="52">
        <v>700</v>
      </c>
      <c r="H92" s="52">
        <f t="shared" si="64"/>
        <v>1400</v>
      </c>
      <c r="I92" s="42">
        <f t="shared" si="65"/>
        <v>13400</v>
      </c>
      <c r="K92" s="7"/>
      <c r="L92" s="7"/>
      <c r="M92" s="9"/>
    </row>
    <row r="93" spans="1:13" x14ac:dyDescent="0.3">
      <c r="A93" s="40"/>
      <c r="B93" s="54" t="s">
        <v>45</v>
      </c>
      <c r="C93" s="40"/>
      <c r="D93" s="40"/>
      <c r="E93" s="52"/>
      <c r="F93" s="52"/>
      <c r="G93" s="52"/>
      <c r="H93" s="52"/>
      <c r="I93" s="42"/>
      <c r="K93" s="7"/>
      <c r="L93" s="7"/>
      <c r="M93" s="9"/>
    </row>
    <row r="94" spans="1:13" x14ac:dyDescent="0.3">
      <c r="A94" s="40"/>
      <c r="B94" s="54" t="s">
        <v>63</v>
      </c>
      <c r="C94" s="40">
        <v>3</v>
      </c>
      <c r="D94" s="40" t="s">
        <v>42</v>
      </c>
      <c r="E94" s="52">
        <v>90000</v>
      </c>
      <c r="F94" s="52">
        <f t="shared" ref="F94" si="66">SUM(C94*E94)</f>
        <v>270000</v>
      </c>
      <c r="G94" s="52">
        <v>6000</v>
      </c>
      <c r="H94" s="52">
        <f t="shared" ref="H94" si="67">SUM(C94*G94)</f>
        <v>18000</v>
      </c>
      <c r="I94" s="42">
        <f t="shared" ref="I94" si="68">SUM(F94+H94)</f>
        <v>288000</v>
      </c>
      <c r="K94" s="7"/>
      <c r="L94" s="7"/>
      <c r="M94" s="9"/>
    </row>
    <row r="95" spans="1:13" x14ac:dyDescent="0.3">
      <c r="A95" s="40"/>
      <c r="B95" s="54" t="s">
        <v>49</v>
      </c>
      <c r="C95" s="40"/>
      <c r="D95" s="40"/>
      <c r="E95" s="52"/>
      <c r="F95" s="52"/>
      <c r="G95" s="52"/>
      <c r="H95" s="52"/>
      <c r="I95" s="42"/>
      <c r="K95" s="7"/>
      <c r="L95" s="7"/>
      <c r="M95" s="9"/>
    </row>
    <row r="96" spans="1:13" x14ac:dyDescent="0.3">
      <c r="A96" s="40"/>
      <c r="B96" s="54" t="s">
        <v>28</v>
      </c>
      <c r="C96" s="40">
        <v>3</v>
      </c>
      <c r="D96" s="40" t="s">
        <v>42</v>
      </c>
      <c r="E96" s="52">
        <v>6000</v>
      </c>
      <c r="F96" s="52">
        <f t="shared" si="63"/>
        <v>18000</v>
      </c>
      <c r="G96" s="52">
        <v>700</v>
      </c>
      <c r="H96" s="52">
        <f t="shared" si="64"/>
        <v>2100</v>
      </c>
      <c r="I96" s="42">
        <f t="shared" si="65"/>
        <v>20100</v>
      </c>
      <c r="K96" s="7"/>
      <c r="L96" s="7"/>
      <c r="M96" s="9"/>
    </row>
    <row r="97" spans="1:13" x14ac:dyDescent="0.3">
      <c r="A97" s="40"/>
      <c r="B97" s="54" t="s">
        <v>99</v>
      </c>
      <c r="C97" s="40"/>
      <c r="D97" s="40"/>
      <c r="E97" s="52"/>
      <c r="F97" s="52"/>
      <c r="G97" s="52"/>
      <c r="H97" s="52"/>
      <c r="I97" s="42"/>
      <c r="K97" s="7"/>
      <c r="L97" s="7"/>
      <c r="M97" s="9"/>
    </row>
    <row r="98" spans="1:13" x14ac:dyDescent="0.3">
      <c r="A98" s="40"/>
      <c r="B98" s="54" t="s">
        <v>63</v>
      </c>
      <c r="C98" s="40">
        <v>3</v>
      </c>
      <c r="D98" s="40" t="s">
        <v>42</v>
      </c>
      <c r="E98" s="110" t="s">
        <v>109</v>
      </c>
      <c r="F98" s="111"/>
      <c r="G98" s="52">
        <v>5000</v>
      </c>
      <c r="H98" s="52">
        <f t="shared" si="64"/>
        <v>15000</v>
      </c>
      <c r="I98" s="42">
        <f t="shared" si="65"/>
        <v>15000</v>
      </c>
      <c r="K98" s="7"/>
      <c r="L98" s="7"/>
      <c r="M98" s="9"/>
    </row>
    <row r="99" spans="1:13" x14ac:dyDescent="0.3">
      <c r="A99" s="40"/>
      <c r="B99" s="54" t="s">
        <v>46</v>
      </c>
      <c r="C99" s="40"/>
      <c r="D99" s="40"/>
      <c r="E99" s="52"/>
      <c r="F99" s="52"/>
      <c r="G99" s="52"/>
      <c r="H99" s="52"/>
      <c r="I99" s="42"/>
      <c r="K99" s="7"/>
      <c r="L99" s="7"/>
      <c r="M99" s="9"/>
    </row>
    <row r="100" spans="1:13" x14ac:dyDescent="0.3">
      <c r="A100" s="40"/>
      <c r="B100" s="54" t="s">
        <v>63</v>
      </c>
      <c r="C100" s="40">
        <v>3</v>
      </c>
      <c r="D100" s="40" t="s">
        <v>42</v>
      </c>
      <c r="E100" s="110" t="s">
        <v>109</v>
      </c>
      <c r="F100" s="111"/>
      <c r="G100" s="52">
        <v>5000</v>
      </c>
      <c r="H100" s="52">
        <f t="shared" si="64"/>
        <v>15000</v>
      </c>
      <c r="I100" s="42">
        <f t="shared" si="65"/>
        <v>15000</v>
      </c>
      <c r="K100" s="7"/>
      <c r="L100" s="7"/>
      <c r="M100" s="9"/>
    </row>
    <row r="101" spans="1:13" x14ac:dyDescent="0.3">
      <c r="A101" s="40"/>
      <c r="B101" s="54" t="s">
        <v>47</v>
      </c>
      <c r="C101" s="40"/>
      <c r="D101" s="40"/>
      <c r="E101" s="85"/>
      <c r="F101" s="52"/>
      <c r="G101" s="52"/>
      <c r="H101" s="52"/>
      <c r="I101" s="42"/>
      <c r="K101" s="7"/>
      <c r="L101" s="7"/>
      <c r="M101" s="9"/>
    </row>
    <row r="102" spans="1:13" x14ac:dyDescent="0.3">
      <c r="A102" s="40"/>
      <c r="B102" s="54" t="s">
        <v>26</v>
      </c>
      <c r="C102" s="40">
        <v>3</v>
      </c>
      <c r="D102" s="40" t="s">
        <v>42</v>
      </c>
      <c r="E102" s="110" t="s">
        <v>109</v>
      </c>
      <c r="F102" s="111"/>
      <c r="G102" s="52">
        <v>2000</v>
      </c>
      <c r="H102" s="52">
        <f t="shared" si="64"/>
        <v>6000</v>
      </c>
      <c r="I102" s="42">
        <f t="shared" si="65"/>
        <v>6000</v>
      </c>
      <c r="K102" s="7"/>
      <c r="L102" s="7"/>
      <c r="M102" s="9"/>
    </row>
    <row r="103" spans="1:13" x14ac:dyDescent="0.3">
      <c r="A103" s="40"/>
      <c r="B103" s="54" t="s">
        <v>48</v>
      </c>
      <c r="C103" s="40"/>
      <c r="D103" s="40"/>
      <c r="E103" s="52"/>
      <c r="F103" s="52"/>
      <c r="G103" s="52"/>
      <c r="H103" s="52"/>
      <c r="I103" s="42"/>
      <c r="K103" s="7"/>
      <c r="L103" s="7"/>
      <c r="M103" s="9"/>
    </row>
    <row r="104" spans="1:13" ht="15" customHeight="1" x14ac:dyDescent="0.3">
      <c r="A104" s="40"/>
      <c r="B104" s="54" t="s">
        <v>63</v>
      </c>
      <c r="C104" s="40">
        <v>3</v>
      </c>
      <c r="D104" s="40" t="s">
        <v>42</v>
      </c>
      <c r="E104" s="110" t="s">
        <v>109</v>
      </c>
      <c r="F104" s="111"/>
      <c r="G104" s="52">
        <v>5000</v>
      </c>
      <c r="H104" s="52">
        <f t="shared" si="64"/>
        <v>15000</v>
      </c>
      <c r="I104" s="42">
        <f t="shared" si="65"/>
        <v>15000</v>
      </c>
      <c r="K104" s="7"/>
      <c r="L104" s="7"/>
      <c r="M104" s="9"/>
    </row>
    <row r="105" spans="1:13" ht="15" customHeight="1" x14ac:dyDescent="0.3">
      <c r="A105" s="40"/>
      <c r="B105" s="54" t="s">
        <v>100</v>
      </c>
      <c r="C105" s="40"/>
      <c r="D105" s="40"/>
      <c r="E105" s="67"/>
      <c r="F105" s="52"/>
      <c r="G105" s="52"/>
      <c r="H105" s="52"/>
      <c r="I105" s="42"/>
      <c r="K105" s="7"/>
      <c r="L105" s="7"/>
      <c r="M105" s="9"/>
    </row>
    <row r="106" spans="1:13" ht="15" customHeight="1" x14ac:dyDescent="0.3">
      <c r="A106" s="40"/>
      <c r="B106" s="54" t="s">
        <v>63</v>
      </c>
      <c r="C106" s="40">
        <v>5</v>
      </c>
      <c r="D106" s="40" t="s">
        <v>42</v>
      </c>
      <c r="E106" s="67">
        <v>1750</v>
      </c>
      <c r="F106" s="52">
        <f t="shared" ref="F106:F109" si="69">SUM(C106*E106)</f>
        <v>8750</v>
      </c>
      <c r="G106" s="52">
        <v>1500</v>
      </c>
      <c r="H106" s="52">
        <f t="shared" ref="H106" si="70">SUM(C106*G106)</f>
        <v>7500</v>
      </c>
      <c r="I106" s="42">
        <f t="shared" ref="I106" si="71">SUM(F106+H106)</f>
        <v>16250</v>
      </c>
      <c r="K106" s="7"/>
      <c r="L106" s="7"/>
      <c r="M106" s="9"/>
    </row>
    <row r="107" spans="1:13" ht="15" customHeight="1" x14ac:dyDescent="0.3">
      <c r="A107" s="40"/>
      <c r="B107" s="54" t="s">
        <v>28</v>
      </c>
      <c r="C107" s="40">
        <v>3</v>
      </c>
      <c r="D107" s="40" t="s">
        <v>42</v>
      </c>
      <c r="E107" s="67">
        <v>1250</v>
      </c>
      <c r="F107" s="52">
        <f t="shared" ref="F107" si="72">SUM(C107*E107)</f>
        <v>3750</v>
      </c>
      <c r="G107" s="52">
        <v>1000</v>
      </c>
      <c r="H107" s="52">
        <f t="shared" ref="H107" si="73">SUM(C107*G107)</f>
        <v>3000</v>
      </c>
      <c r="I107" s="42">
        <f t="shared" ref="I107" si="74">SUM(F107+H107)</f>
        <v>6750</v>
      </c>
      <c r="K107" s="7"/>
      <c r="L107" s="7"/>
      <c r="M107" s="9"/>
    </row>
    <row r="108" spans="1:13" ht="15" customHeight="1" x14ac:dyDescent="0.3">
      <c r="A108" s="40"/>
      <c r="B108" s="54" t="s">
        <v>106</v>
      </c>
      <c r="C108" s="40"/>
      <c r="D108" s="40"/>
      <c r="E108" s="67"/>
      <c r="F108" s="52"/>
      <c r="G108" s="52"/>
      <c r="H108" s="52"/>
      <c r="I108" s="42"/>
      <c r="K108" s="7"/>
      <c r="L108" s="7"/>
      <c r="M108" s="9"/>
    </row>
    <row r="109" spans="1:13" ht="15" customHeight="1" x14ac:dyDescent="0.3">
      <c r="A109" s="40"/>
      <c r="B109" s="54" t="s">
        <v>103</v>
      </c>
      <c r="C109" s="40">
        <v>3</v>
      </c>
      <c r="D109" s="40" t="s">
        <v>42</v>
      </c>
      <c r="E109" s="67">
        <v>9000</v>
      </c>
      <c r="F109" s="52">
        <f t="shared" si="69"/>
        <v>27000</v>
      </c>
      <c r="G109" s="52">
        <v>2000</v>
      </c>
      <c r="H109" s="52">
        <f t="shared" ref="H109" si="75">SUM(C109*G109)</f>
        <v>6000</v>
      </c>
      <c r="I109" s="42">
        <f t="shared" ref="I109" si="76">SUM(F109+H109)</f>
        <v>33000</v>
      </c>
      <c r="K109" s="7"/>
      <c r="L109" s="7"/>
      <c r="M109" s="9"/>
    </row>
    <row r="110" spans="1:13" x14ac:dyDescent="0.3">
      <c r="A110" s="40"/>
      <c r="B110" s="57" t="s">
        <v>50</v>
      </c>
      <c r="C110" s="40">
        <v>15</v>
      </c>
      <c r="D110" s="40" t="s">
        <v>42</v>
      </c>
      <c r="E110" s="52">
        <v>2500</v>
      </c>
      <c r="F110" s="52">
        <f t="shared" si="63"/>
        <v>37500</v>
      </c>
      <c r="G110" s="52">
        <v>300</v>
      </c>
      <c r="H110" s="52">
        <f t="shared" si="64"/>
        <v>4500</v>
      </c>
      <c r="I110" s="42">
        <f t="shared" si="65"/>
        <v>42000</v>
      </c>
      <c r="K110" s="7"/>
      <c r="L110" s="7"/>
      <c r="M110" s="9"/>
    </row>
    <row r="111" spans="1:13" x14ac:dyDescent="0.3">
      <c r="A111" s="40"/>
      <c r="B111" s="54" t="s">
        <v>53</v>
      </c>
      <c r="C111" s="40">
        <v>3</v>
      </c>
      <c r="D111" s="40" t="s">
        <v>51</v>
      </c>
      <c r="E111" s="52">
        <v>11000</v>
      </c>
      <c r="F111" s="52">
        <f t="shared" si="63"/>
        <v>33000</v>
      </c>
      <c r="G111" s="52">
        <v>10000</v>
      </c>
      <c r="H111" s="52">
        <f t="shared" si="64"/>
        <v>30000</v>
      </c>
      <c r="I111" s="42">
        <f t="shared" si="65"/>
        <v>63000</v>
      </c>
      <c r="K111" s="7"/>
      <c r="L111" s="7"/>
      <c r="M111" s="9"/>
    </row>
    <row r="112" spans="1:13" x14ac:dyDescent="0.3">
      <c r="A112" s="40"/>
      <c r="B112" s="54" t="s">
        <v>19</v>
      </c>
      <c r="C112" s="40">
        <v>3</v>
      </c>
      <c r="D112" s="40" t="s">
        <v>42</v>
      </c>
      <c r="E112" s="52">
        <v>4000</v>
      </c>
      <c r="F112" s="52">
        <f t="shared" si="63"/>
        <v>12000</v>
      </c>
      <c r="G112" s="52">
        <v>1000</v>
      </c>
      <c r="H112" s="52">
        <f t="shared" si="64"/>
        <v>3000</v>
      </c>
      <c r="I112" s="42">
        <f t="shared" si="65"/>
        <v>15000</v>
      </c>
      <c r="K112" s="7"/>
      <c r="L112" s="7"/>
      <c r="M112" s="9"/>
    </row>
    <row r="113" spans="1:13" x14ac:dyDescent="0.3">
      <c r="A113" s="40"/>
      <c r="B113" s="54" t="s">
        <v>108</v>
      </c>
      <c r="C113" s="40">
        <v>10</v>
      </c>
      <c r="D113" s="40" t="s">
        <v>42</v>
      </c>
      <c r="E113" s="52">
        <v>500</v>
      </c>
      <c r="F113" s="52">
        <f t="shared" si="63"/>
        <v>5000</v>
      </c>
      <c r="G113" s="52">
        <v>400</v>
      </c>
      <c r="H113" s="52">
        <f t="shared" si="64"/>
        <v>4000</v>
      </c>
      <c r="I113" s="42">
        <f t="shared" si="65"/>
        <v>9000</v>
      </c>
      <c r="K113" s="7"/>
      <c r="L113" s="7"/>
      <c r="M113" s="9"/>
    </row>
    <row r="114" spans="1:13" x14ac:dyDescent="0.3">
      <c r="A114" s="40"/>
      <c r="B114" s="54" t="s">
        <v>107</v>
      </c>
      <c r="C114" s="40">
        <v>5</v>
      </c>
      <c r="D114" s="40" t="s">
        <v>42</v>
      </c>
      <c r="E114" s="52">
        <v>2000</v>
      </c>
      <c r="F114" s="52">
        <f t="shared" ref="F114" si="77">SUM(C114*E114)</f>
        <v>10000</v>
      </c>
      <c r="G114" s="52">
        <v>1500</v>
      </c>
      <c r="H114" s="52">
        <f t="shared" ref="H114" si="78">SUM(C114*G114)</f>
        <v>7500</v>
      </c>
      <c r="I114" s="42">
        <f t="shared" ref="I114" si="79">SUM(F114+H114)</f>
        <v>17500</v>
      </c>
      <c r="K114" s="7"/>
      <c r="L114" s="7"/>
      <c r="M114" s="9"/>
    </row>
    <row r="115" spans="1:13" x14ac:dyDescent="0.3">
      <c r="A115" s="40"/>
      <c r="B115" s="54" t="s">
        <v>69</v>
      </c>
      <c r="C115" s="40">
        <v>50</v>
      </c>
      <c r="D115" s="40" t="s">
        <v>42</v>
      </c>
      <c r="E115" s="52">
        <v>1000</v>
      </c>
      <c r="F115" s="52">
        <f t="shared" si="63"/>
        <v>50000</v>
      </c>
      <c r="G115" s="52">
        <v>1200</v>
      </c>
      <c r="H115" s="52">
        <f t="shared" si="64"/>
        <v>60000</v>
      </c>
      <c r="I115" s="42">
        <f t="shared" si="65"/>
        <v>110000</v>
      </c>
      <c r="K115" s="7"/>
      <c r="L115" s="7"/>
      <c r="M115" s="9"/>
    </row>
    <row r="116" spans="1:13" x14ac:dyDescent="0.3">
      <c r="A116" s="40"/>
      <c r="B116" s="54" t="s">
        <v>102</v>
      </c>
      <c r="C116" s="40">
        <v>20</v>
      </c>
      <c r="D116" s="40" t="s">
        <v>42</v>
      </c>
      <c r="E116" s="52">
        <v>950</v>
      </c>
      <c r="F116" s="52">
        <f t="shared" ref="F116" si="80">SUM(C116*E116)</f>
        <v>19000</v>
      </c>
      <c r="G116" s="52">
        <v>1000</v>
      </c>
      <c r="H116" s="52">
        <f t="shared" ref="H116" si="81">SUM(C116*G116)</f>
        <v>20000</v>
      </c>
      <c r="I116" s="42">
        <f t="shared" ref="I116" si="82">SUM(F116+H116)</f>
        <v>39000</v>
      </c>
      <c r="K116" s="7"/>
      <c r="L116" s="7"/>
      <c r="M116" s="9"/>
    </row>
    <row r="117" spans="1:13" x14ac:dyDescent="0.3">
      <c r="A117" s="40"/>
      <c r="B117" s="54" t="s">
        <v>70</v>
      </c>
      <c r="C117" s="40">
        <v>4</v>
      </c>
      <c r="D117" s="40" t="s">
        <v>42</v>
      </c>
      <c r="E117" s="52">
        <v>1650</v>
      </c>
      <c r="F117" s="52">
        <f t="shared" si="63"/>
        <v>6600</v>
      </c>
      <c r="G117" s="52">
        <v>1200</v>
      </c>
      <c r="H117" s="52">
        <f t="shared" si="64"/>
        <v>4800</v>
      </c>
      <c r="I117" s="42">
        <f t="shared" si="65"/>
        <v>11400</v>
      </c>
      <c r="K117" s="7"/>
      <c r="L117" s="7"/>
      <c r="M117" s="9"/>
    </row>
    <row r="118" spans="1:13" x14ac:dyDescent="0.3">
      <c r="A118" s="40"/>
      <c r="B118" s="54" t="s">
        <v>86</v>
      </c>
      <c r="C118" s="40">
        <v>400</v>
      </c>
      <c r="D118" s="40" t="s">
        <v>42</v>
      </c>
      <c r="E118" s="52">
        <v>90</v>
      </c>
      <c r="F118" s="52">
        <f t="shared" si="63"/>
        <v>36000</v>
      </c>
      <c r="G118" s="52">
        <v>35</v>
      </c>
      <c r="H118" s="52">
        <f t="shared" si="64"/>
        <v>14000</v>
      </c>
      <c r="I118" s="42">
        <f t="shared" si="65"/>
        <v>50000</v>
      </c>
      <c r="K118" s="7"/>
      <c r="L118" s="7"/>
      <c r="M118" s="9"/>
    </row>
    <row r="119" spans="1:13" x14ac:dyDescent="0.3">
      <c r="A119" s="40"/>
      <c r="B119" s="54" t="s">
        <v>104</v>
      </c>
      <c r="C119" s="40">
        <v>2</v>
      </c>
      <c r="D119" s="40" t="s">
        <v>5</v>
      </c>
      <c r="E119" s="52">
        <v>2250</v>
      </c>
      <c r="F119" s="52">
        <f t="shared" ref="F119" si="83">SUM(C119*E119)</f>
        <v>4500</v>
      </c>
      <c r="G119" s="52">
        <v>3000</v>
      </c>
      <c r="H119" s="52">
        <f t="shared" ref="H119" si="84">SUM(C119*G119)</f>
        <v>6000</v>
      </c>
      <c r="I119" s="42">
        <f t="shared" ref="I119" si="85">SUM(F119+H119)</f>
        <v>10500</v>
      </c>
      <c r="K119" s="7"/>
      <c r="L119" s="7"/>
      <c r="M119" s="9"/>
    </row>
    <row r="120" spans="1:13" x14ac:dyDescent="0.3">
      <c r="A120" s="40"/>
      <c r="B120" s="54"/>
      <c r="C120" s="40"/>
      <c r="D120" s="40"/>
      <c r="E120" s="52"/>
      <c r="F120" s="52"/>
      <c r="G120" s="52"/>
      <c r="H120" s="52"/>
      <c r="I120" s="42"/>
      <c r="K120" s="7"/>
      <c r="L120" s="7"/>
      <c r="M120" s="9"/>
    </row>
    <row r="121" spans="1:13" x14ac:dyDescent="0.3">
      <c r="A121" s="40">
        <v>11</v>
      </c>
      <c r="B121" s="88" t="s">
        <v>85</v>
      </c>
      <c r="C121" s="40"/>
      <c r="D121" s="40"/>
      <c r="E121" s="52"/>
      <c r="F121" s="52"/>
      <c r="G121" s="52"/>
      <c r="H121" s="52"/>
      <c r="I121" s="42"/>
      <c r="K121" s="7"/>
      <c r="L121" s="7"/>
      <c r="M121" s="9"/>
    </row>
    <row r="122" spans="1:13" x14ac:dyDescent="0.3">
      <c r="A122" s="40"/>
      <c r="B122" s="54" t="s">
        <v>54</v>
      </c>
      <c r="C122" s="40"/>
      <c r="D122" s="40"/>
      <c r="E122" s="52"/>
      <c r="F122" s="52"/>
      <c r="G122" s="52"/>
      <c r="H122" s="52"/>
      <c r="I122" s="42"/>
      <c r="K122" s="7"/>
      <c r="L122" s="7"/>
      <c r="M122" s="9"/>
    </row>
    <row r="123" spans="1:13" x14ac:dyDescent="0.3">
      <c r="A123" s="40"/>
      <c r="B123" s="54" t="s">
        <v>71</v>
      </c>
      <c r="C123" s="40">
        <v>3</v>
      </c>
      <c r="D123" s="40" t="s">
        <v>42</v>
      </c>
      <c r="E123" s="52">
        <v>39000</v>
      </c>
      <c r="F123" s="52">
        <f t="shared" si="63"/>
        <v>117000</v>
      </c>
      <c r="G123" s="52">
        <v>5000</v>
      </c>
      <c r="H123" s="52">
        <f t="shared" si="64"/>
        <v>15000</v>
      </c>
      <c r="I123" s="42">
        <f t="shared" si="65"/>
        <v>132000</v>
      </c>
      <c r="K123" s="7"/>
      <c r="L123" s="7"/>
      <c r="M123" s="9"/>
    </row>
    <row r="124" spans="1:13" x14ac:dyDescent="0.3">
      <c r="A124" s="40"/>
      <c r="B124" s="57" t="s">
        <v>66</v>
      </c>
      <c r="C124" s="40"/>
      <c r="D124" s="40"/>
      <c r="E124" s="52"/>
      <c r="F124" s="52"/>
      <c r="G124" s="52"/>
      <c r="H124" s="52"/>
      <c r="I124" s="42"/>
      <c r="K124" s="7"/>
      <c r="L124" s="7"/>
      <c r="M124" s="9"/>
    </row>
    <row r="125" spans="1:13" x14ac:dyDescent="0.3">
      <c r="A125" s="40"/>
      <c r="B125" s="54" t="s">
        <v>71</v>
      </c>
      <c r="C125" s="40">
        <v>3</v>
      </c>
      <c r="D125" s="40" t="s">
        <v>42</v>
      </c>
      <c r="E125" s="52">
        <v>17000</v>
      </c>
      <c r="F125" s="52">
        <f t="shared" si="63"/>
        <v>51000</v>
      </c>
      <c r="G125" s="52">
        <v>4000</v>
      </c>
      <c r="H125" s="52">
        <f t="shared" si="64"/>
        <v>12000</v>
      </c>
      <c r="I125" s="42">
        <f t="shared" si="65"/>
        <v>63000</v>
      </c>
      <c r="K125" s="7"/>
      <c r="L125" s="7"/>
      <c r="M125" s="9"/>
    </row>
    <row r="126" spans="1:13" x14ac:dyDescent="0.3">
      <c r="A126" s="40"/>
      <c r="B126" s="57" t="s">
        <v>44</v>
      </c>
      <c r="C126" s="40"/>
      <c r="D126" s="40"/>
      <c r="E126" s="52"/>
      <c r="F126" s="52"/>
      <c r="G126" s="52"/>
      <c r="H126" s="52"/>
      <c r="I126" s="42"/>
      <c r="K126" s="7"/>
      <c r="L126" s="7"/>
      <c r="M126" s="9"/>
    </row>
    <row r="127" spans="1:13" x14ac:dyDescent="0.3">
      <c r="A127" s="40"/>
      <c r="B127" s="54" t="s">
        <v>71</v>
      </c>
      <c r="C127" s="40">
        <v>3</v>
      </c>
      <c r="D127" s="40" t="s">
        <v>42</v>
      </c>
      <c r="E127" s="52">
        <v>32000</v>
      </c>
      <c r="F127" s="52">
        <f t="shared" ref="F127:F128" si="86">SUM(C127*E127)</f>
        <v>96000</v>
      </c>
      <c r="G127" s="52">
        <v>5000</v>
      </c>
      <c r="H127" s="52">
        <f t="shared" ref="H127:H128" si="87">SUM(C127*G127)</f>
        <v>15000</v>
      </c>
      <c r="I127" s="42">
        <f t="shared" ref="I127:I128" si="88">SUM(F127+H127)</f>
        <v>111000</v>
      </c>
      <c r="K127" s="7"/>
      <c r="L127" s="7"/>
      <c r="M127" s="9"/>
    </row>
    <row r="128" spans="1:13" x14ac:dyDescent="0.3">
      <c r="A128" s="40"/>
      <c r="B128" s="54" t="s">
        <v>103</v>
      </c>
      <c r="C128" s="40">
        <v>3</v>
      </c>
      <c r="D128" s="40" t="s">
        <v>42</v>
      </c>
      <c r="E128" s="67">
        <v>9000</v>
      </c>
      <c r="F128" s="52">
        <f t="shared" si="86"/>
        <v>27000</v>
      </c>
      <c r="G128" s="52">
        <v>2000</v>
      </c>
      <c r="H128" s="52">
        <f t="shared" si="87"/>
        <v>6000</v>
      </c>
      <c r="I128" s="42">
        <f t="shared" si="88"/>
        <v>33000</v>
      </c>
      <c r="K128" s="7"/>
      <c r="L128" s="7"/>
      <c r="M128" s="9"/>
    </row>
    <row r="129" spans="1:13" x14ac:dyDescent="0.3">
      <c r="A129" s="40"/>
      <c r="B129" s="57" t="s">
        <v>50</v>
      </c>
      <c r="C129" s="40">
        <v>3</v>
      </c>
      <c r="D129" s="40" t="s">
        <v>42</v>
      </c>
      <c r="E129" s="52">
        <v>2500</v>
      </c>
      <c r="F129" s="52">
        <f t="shared" si="63"/>
        <v>7500</v>
      </c>
      <c r="G129" s="52">
        <v>300</v>
      </c>
      <c r="H129" s="52">
        <f t="shared" si="64"/>
        <v>900</v>
      </c>
      <c r="I129" s="42">
        <f t="shared" si="65"/>
        <v>8400</v>
      </c>
      <c r="K129" s="7"/>
      <c r="L129" s="7"/>
      <c r="M129" s="9"/>
    </row>
    <row r="130" spans="1:13" x14ac:dyDescent="0.3">
      <c r="A130" s="40"/>
      <c r="B130" s="54" t="s">
        <v>69</v>
      </c>
      <c r="C130" s="40">
        <v>9</v>
      </c>
      <c r="D130" s="40" t="s">
        <v>42</v>
      </c>
      <c r="E130" s="52">
        <v>1000</v>
      </c>
      <c r="F130" s="52">
        <f t="shared" ref="F130:F131" si="89">SUM(C130*E130)</f>
        <v>9000</v>
      </c>
      <c r="G130" s="52">
        <v>1200</v>
      </c>
      <c r="H130" s="52">
        <f t="shared" ref="H130" si="90">SUM(C130*G130)</f>
        <v>10800</v>
      </c>
      <c r="I130" s="42">
        <f t="shared" ref="I130" si="91">SUM(F130+H130)</f>
        <v>19800</v>
      </c>
      <c r="K130" s="7"/>
      <c r="L130" s="7"/>
      <c r="M130" s="9"/>
    </row>
    <row r="131" spans="1:13" x14ac:dyDescent="0.3">
      <c r="A131" s="40"/>
      <c r="B131" s="54" t="s">
        <v>86</v>
      </c>
      <c r="C131" s="40">
        <v>65</v>
      </c>
      <c r="D131" s="40" t="s">
        <v>42</v>
      </c>
      <c r="E131" s="52">
        <v>90</v>
      </c>
      <c r="F131" s="52">
        <f t="shared" si="89"/>
        <v>5850</v>
      </c>
      <c r="G131" s="52">
        <v>35</v>
      </c>
      <c r="H131" s="52">
        <f t="shared" ref="H131" si="92">SUM(C131*G131)</f>
        <v>2275</v>
      </c>
      <c r="I131" s="42">
        <f t="shared" ref="I131" si="93">SUM(F131+H131)</f>
        <v>8125</v>
      </c>
      <c r="K131" s="7"/>
      <c r="L131" s="7"/>
      <c r="M131" s="9"/>
    </row>
    <row r="132" spans="1:13" x14ac:dyDescent="0.3">
      <c r="A132" s="40"/>
      <c r="B132" s="57"/>
      <c r="C132" s="40"/>
      <c r="D132" s="40"/>
      <c r="E132" s="52"/>
      <c r="F132" s="52"/>
      <c r="G132" s="52"/>
      <c r="H132" s="52"/>
      <c r="I132" s="42"/>
      <c r="K132" s="7"/>
      <c r="L132" s="7"/>
      <c r="M132" s="9"/>
    </row>
    <row r="133" spans="1:13" x14ac:dyDescent="0.3">
      <c r="A133" s="40">
        <v>12</v>
      </c>
      <c r="B133" s="88" t="s">
        <v>60</v>
      </c>
      <c r="C133" s="40"/>
      <c r="D133" s="40"/>
      <c r="E133" s="52"/>
      <c r="F133" s="52"/>
      <c r="G133" s="52"/>
      <c r="H133" s="52"/>
      <c r="I133" s="42"/>
      <c r="K133" s="7"/>
      <c r="L133" s="7"/>
      <c r="M133" s="9"/>
    </row>
    <row r="134" spans="1:13" x14ac:dyDescent="0.3">
      <c r="A134" s="40"/>
      <c r="B134" s="58" t="s">
        <v>55</v>
      </c>
      <c r="C134" s="40">
        <v>1</v>
      </c>
      <c r="D134" s="40" t="s">
        <v>42</v>
      </c>
      <c r="E134" s="52">
        <v>1300</v>
      </c>
      <c r="F134" s="52">
        <f t="shared" si="63"/>
        <v>1300</v>
      </c>
      <c r="G134" s="52">
        <v>500</v>
      </c>
      <c r="H134" s="52">
        <f t="shared" si="64"/>
        <v>500</v>
      </c>
      <c r="I134" s="42">
        <f t="shared" si="65"/>
        <v>1800</v>
      </c>
      <c r="K134" s="7"/>
      <c r="L134" s="7"/>
      <c r="M134" s="9"/>
    </row>
    <row r="135" spans="1:13" x14ac:dyDescent="0.3">
      <c r="A135" s="40"/>
      <c r="B135" s="59" t="s">
        <v>56</v>
      </c>
      <c r="C135" s="40">
        <v>1</v>
      </c>
      <c r="D135" s="40" t="s">
        <v>42</v>
      </c>
      <c r="E135" s="52">
        <v>4000</v>
      </c>
      <c r="F135" s="52">
        <f t="shared" si="63"/>
        <v>4000</v>
      </c>
      <c r="G135" s="52">
        <v>500</v>
      </c>
      <c r="H135" s="52">
        <f t="shared" si="64"/>
        <v>500</v>
      </c>
      <c r="I135" s="42">
        <f t="shared" si="65"/>
        <v>4500</v>
      </c>
      <c r="K135" s="7"/>
      <c r="L135" s="7"/>
      <c r="M135" s="9"/>
    </row>
    <row r="136" spans="1:13" x14ac:dyDescent="0.3">
      <c r="A136" s="40"/>
      <c r="B136" s="58" t="s">
        <v>57</v>
      </c>
      <c r="C136" s="40">
        <v>1</v>
      </c>
      <c r="D136" s="40" t="s">
        <v>42</v>
      </c>
      <c r="E136" s="61">
        <v>4000</v>
      </c>
      <c r="F136" s="52">
        <f t="shared" si="63"/>
        <v>4000</v>
      </c>
      <c r="G136" s="52">
        <v>500</v>
      </c>
      <c r="H136" s="52">
        <f t="shared" si="64"/>
        <v>500</v>
      </c>
      <c r="I136" s="42">
        <f t="shared" si="65"/>
        <v>4500</v>
      </c>
      <c r="K136" s="7"/>
      <c r="L136" s="7"/>
      <c r="M136" s="8"/>
    </row>
    <row r="137" spans="1:13" x14ac:dyDescent="0.3">
      <c r="A137" s="40"/>
      <c r="B137" s="58" t="s">
        <v>64</v>
      </c>
      <c r="C137" s="40">
        <v>3</v>
      </c>
      <c r="D137" s="40" t="s">
        <v>42</v>
      </c>
      <c r="E137" s="61">
        <v>700</v>
      </c>
      <c r="F137" s="52">
        <f t="shared" si="63"/>
        <v>2100</v>
      </c>
      <c r="G137" s="52">
        <v>500</v>
      </c>
      <c r="H137" s="52">
        <f t="shared" si="64"/>
        <v>1500</v>
      </c>
      <c r="I137" s="42">
        <f t="shared" si="65"/>
        <v>3600</v>
      </c>
      <c r="K137" s="7"/>
      <c r="L137" s="7"/>
      <c r="M137" s="8"/>
    </row>
    <row r="138" spans="1:13" x14ac:dyDescent="0.3">
      <c r="A138" s="40"/>
      <c r="B138" s="58"/>
      <c r="C138" s="40"/>
      <c r="D138" s="40"/>
      <c r="E138" s="61"/>
      <c r="F138" s="52"/>
      <c r="G138" s="52"/>
      <c r="H138" s="52"/>
      <c r="I138" s="42"/>
      <c r="K138" s="7"/>
      <c r="L138" s="7"/>
      <c r="M138" s="8"/>
    </row>
    <row r="139" spans="1:13" x14ac:dyDescent="0.3">
      <c r="A139" s="40">
        <v>13</v>
      </c>
      <c r="B139" s="88" t="s">
        <v>65</v>
      </c>
      <c r="C139" s="40"/>
      <c r="D139" s="40"/>
      <c r="E139" s="61"/>
      <c r="F139" s="52"/>
      <c r="G139" s="52"/>
      <c r="H139" s="52"/>
      <c r="I139" s="42"/>
      <c r="K139" s="7"/>
      <c r="L139" s="7"/>
      <c r="M139" s="8"/>
    </row>
    <row r="140" spans="1:13" x14ac:dyDescent="0.3">
      <c r="A140" s="40"/>
      <c r="B140" s="58" t="s">
        <v>62</v>
      </c>
      <c r="C140" s="40">
        <v>3</v>
      </c>
      <c r="D140" s="40" t="s">
        <v>42</v>
      </c>
      <c r="E140" s="61">
        <v>45000</v>
      </c>
      <c r="F140" s="52">
        <f t="shared" si="63"/>
        <v>135000</v>
      </c>
      <c r="G140" s="52">
        <v>5000</v>
      </c>
      <c r="H140" s="52">
        <f t="shared" si="64"/>
        <v>15000</v>
      </c>
      <c r="I140" s="42">
        <f>SUM(F140+H140)</f>
        <v>150000</v>
      </c>
      <c r="K140" s="7"/>
      <c r="L140" s="7"/>
      <c r="M140" s="8"/>
    </row>
    <row r="141" spans="1:13" x14ac:dyDescent="0.3">
      <c r="A141" s="40"/>
      <c r="B141" s="58" t="s">
        <v>61</v>
      </c>
      <c r="C141" s="40">
        <v>3</v>
      </c>
      <c r="D141" s="40" t="s">
        <v>42</v>
      </c>
      <c r="E141" s="52">
        <v>32000</v>
      </c>
      <c r="F141" s="52">
        <f t="shared" si="63"/>
        <v>96000</v>
      </c>
      <c r="G141" s="52">
        <v>5000</v>
      </c>
      <c r="H141" s="52">
        <f t="shared" si="64"/>
        <v>15000</v>
      </c>
      <c r="I141" s="42">
        <f t="shared" ref="I141:I145" si="94">SUM(F141+H141)</f>
        <v>111000</v>
      </c>
      <c r="K141" s="7"/>
      <c r="L141" s="7"/>
      <c r="M141" s="8"/>
    </row>
    <row r="142" spans="1:13" x14ac:dyDescent="0.3">
      <c r="A142" s="40"/>
      <c r="B142" s="57" t="s">
        <v>143</v>
      </c>
      <c r="C142" s="40">
        <v>3</v>
      </c>
      <c r="D142" s="40" t="s">
        <v>42</v>
      </c>
      <c r="E142" s="60">
        <v>12000</v>
      </c>
      <c r="F142" s="52">
        <f t="shared" si="63"/>
        <v>36000</v>
      </c>
      <c r="G142" s="52">
        <v>4000</v>
      </c>
      <c r="H142" s="52">
        <f t="shared" si="64"/>
        <v>12000</v>
      </c>
      <c r="I142" s="42">
        <f t="shared" si="94"/>
        <v>48000</v>
      </c>
      <c r="K142" s="7"/>
      <c r="L142" s="7"/>
      <c r="M142" s="8"/>
    </row>
    <row r="143" spans="1:13" x14ac:dyDescent="0.3">
      <c r="A143" s="40"/>
      <c r="B143" s="58" t="s">
        <v>68</v>
      </c>
      <c r="C143" s="40">
        <v>3</v>
      </c>
      <c r="D143" s="40" t="s">
        <v>42</v>
      </c>
      <c r="E143" s="60">
        <v>8000</v>
      </c>
      <c r="F143" s="52">
        <f t="shared" si="63"/>
        <v>24000</v>
      </c>
      <c r="G143" s="52">
        <v>2500</v>
      </c>
      <c r="H143" s="52">
        <f t="shared" si="64"/>
        <v>7500</v>
      </c>
      <c r="I143" s="42">
        <f t="shared" si="94"/>
        <v>31500</v>
      </c>
      <c r="K143" s="7"/>
      <c r="L143" s="7"/>
      <c r="M143" s="8"/>
    </row>
    <row r="144" spans="1:13" x14ac:dyDescent="0.3">
      <c r="A144" s="40"/>
      <c r="B144" s="54" t="s">
        <v>69</v>
      </c>
      <c r="C144" s="40">
        <v>12</v>
      </c>
      <c r="D144" s="40" t="s">
        <v>42</v>
      </c>
      <c r="E144" s="52">
        <v>550</v>
      </c>
      <c r="F144" s="52">
        <f t="shared" si="63"/>
        <v>6600</v>
      </c>
      <c r="G144" s="52">
        <v>1200</v>
      </c>
      <c r="H144" s="52">
        <f t="shared" si="64"/>
        <v>14400</v>
      </c>
      <c r="I144" s="42">
        <f t="shared" si="94"/>
        <v>21000</v>
      </c>
      <c r="K144" s="7"/>
      <c r="L144" s="7"/>
      <c r="M144" s="8"/>
    </row>
    <row r="145" spans="1:13" x14ac:dyDescent="0.3">
      <c r="A145" s="40"/>
      <c r="B145" s="54" t="s">
        <v>86</v>
      </c>
      <c r="C145" s="40">
        <v>22</v>
      </c>
      <c r="D145" s="40" t="s">
        <v>42</v>
      </c>
      <c r="E145" s="52">
        <v>50</v>
      </c>
      <c r="F145" s="52">
        <f t="shared" ref="F145" si="95">SUM(C145*E145)</f>
        <v>1100</v>
      </c>
      <c r="G145" s="52">
        <v>35</v>
      </c>
      <c r="H145" s="52">
        <f t="shared" ref="H145" si="96">SUM(C145*G145)</f>
        <v>770</v>
      </c>
      <c r="I145" s="42">
        <f t="shared" si="94"/>
        <v>1870</v>
      </c>
      <c r="K145" s="7"/>
      <c r="L145" s="7"/>
      <c r="M145" s="8"/>
    </row>
    <row r="146" spans="1:13" x14ac:dyDescent="0.3">
      <c r="A146" s="40"/>
      <c r="B146" s="54"/>
      <c r="C146" s="40"/>
      <c r="D146" s="40"/>
      <c r="E146" s="60"/>
      <c r="F146" s="52"/>
      <c r="G146" s="52"/>
      <c r="H146" s="52"/>
      <c r="I146" s="42"/>
      <c r="K146" s="7"/>
      <c r="L146" s="7"/>
      <c r="M146" s="8"/>
    </row>
    <row r="147" spans="1:13" x14ac:dyDescent="0.3">
      <c r="A147" s="40">
        <v>14</v>
      </c>
      <c r="B147" s="88" t="s">
        <v>67</v>
      </c>
      <c r="C147" s="40"/>
      <c r="D147" s="40"/>
      <c r="E147" s="61"/>
      <c r="F147" s="52"/>
      <c r="G147" s="52"/>
      <c r="H147" s="52"/>
      <c r="I147" s="42"/>
      <c r="K147" s="7"/>
      <c r="L147" s="7"/>
      <c r="M147" s="8"/>
    </row>
    <row r="148" spans="1:13" x14ac:dyDescent="0.3">
      <c r="A148" s="40"/>
      <c r="B148" s="58" t="s">
        <v>55</v>
      </c>
      <c r="C148" s="40">
        <v>3</v>
      </c>
      <c r="D148" s="40" t="s">
        <v>42</v>
      </c>
      <c r="E148" s="52">
        <v>1500</v>
      </c>
      <c r="F148" s="52">
        <f t="shared" ref="F148:F149" si="97">SUM(C148*E148)</f>
        <v>4500</v>
      </c>
      <c r="G148" s="52">
        <v>500</v>
      </c>
      <c r="H148" s="52">
        <f t="shared" ref="H148:H149" si="98">SUM(C148*G148)</f>
        <v>1500</v>
      </c>
      <c r="I148" s="42">
        <f>SUM(F148+H148)</f>
        <v>6000</v>
      </c>
      <c r="K148" s="7"/>
      <c r="L148" s="7"/>
      <c r="M148" s="8"/>
    </row>
    <row r="149" spans="1:13" x14ac:dyDescent="0.3">
      <c r="A149" s="40"/>
      <c r="B149" s="58" t="s">
        <v>144</v>
      </c>
      <c r="C149" s="40">
        <v>3</v>
      </c>
      <c r="D149" s="40" t="s">
        <v>42</v>
      </c>
      <c r="E149" s="61">
        <v>3000</v>
      </c>
      <c r="F149" s="52">
        <f t="shared" si="97"/>
        <v>9000</v>
      </c>
      <c r="G149" s="52">
        <v>500</v>
      </c>
      <c r="H149" s="52">
        <f t="shared" si="98"/>
        <v>1500</v>
      </c>
      <c r="I149" s="42">
        <f t="shared" ref="I149" si="99">SUM(F149+H149)</f>
        <v>10500</v>
      </c>
      <c r="K149" s="7"/>
      <c r="L149" s="7"/>
      <c r="M149" s="8"/>
    </row>
    <row r="150" spans="1:13" x14ac:dyDescent="0.3">
      <c r="A150" s="40"/>
      <c r="B150" s="58"/>
      <c r="C150" s="40"/>
      <c r="D150" s="40"/>
      <c r="E150" s="61"/>
      <c r="F150" s="52"/>
      <c r="G150" s="52"/>
      <c r="H150" s="52"/>
      <c r="I150" s="42"/>
      <c r="K150" s="7"/>
      <c r="L150" s="7"/>
      <c r="M150" s="8"/>
    </row>
    <row r="151" spans="1:13" x14ac:dyDescent="0.3">
      <c r="A151" s="40">
        <v>15</v>
      </c>
      <c r="B151" s="88" t="s">
        <v>145</v>
      </c>
      <c r="C151" s="40"/>
      <c r="D151" s="40"/>
      <c r="E151" s="61"/>
      <c r="F151" s="52"/>
      <c r="G151" s="52"/>
      <c r="H151" s="52"/>
      <c r="I151" s="42"/>
      <c r="K151" s="7"/>
      <c r="L151" s="7"/>
      <c r="M151" s="8"/>
    </row>
    <row r="152" spans="1:13" ht="34.200000000000003" x14ac:dyDescent="0.2">
      <c r="A152" s="40"/>
      <c r="B152" s="73" t="s">
        <v>93</v>
      </c>
      <c r="C152" s="121">
        <v>15</v>
      </c>
      <c r="D152" s="121" t="s">
        <v>51</v>
      </c>
      <c r="E152" s="124">
        <v>30000</v>
      </c>
      <c r="F152" s="115">
        <f>SUM(E152*C152)</f>
        <v>450000</v>
      </c>
      <c r="G152" s="115">
        <v>5000</v>
      </c>
      <c r="H152" s="115">
        <f>SUM(G152*C152)</f>
        <v>75000</v>
      </c>
      <c r="I152" s="112">
        <f>SUM(F152+H152)</f>
        <v>525000</v>
      </c>
      <c r="K152" s="7"/>
      <c r="L152" s="7"/>
      <c r="M152" s="8"/>
    </row>
    <row r="153" spans="1:13" x14ac:dyDescent="0.2">
      <c r="A153" s="40"/>
      <c r="B153" s="72" t="s">
        <v>95</v>
      </c>
      <c r="C153" s="122"/>
      <c r="D153" s="122"/>
      <c r="E153" s="125"/>
      <c r="F153" s="116"/>
      <c r="G153" s="116"/>
      <c r="H153" s="116"/>
      <c r="I153" s="113"/>
      <c r="K153" s="7"/>
      <c r="L153" s="7"/>
      <c r="M153" s="8"/>
    </row>
    <row r="154" spans="1:13" x14ac:dyDescent="0.2">
      <c r="A154" s="40"/>
      <c r="B154" s="72" t="s">
        <v>89</v>
      </c>
      <c r="C154" s="122"/>
      <c r="D154" s="122"/>
      <c r="E154" s="125"/>
      <c r="F154" s="116"/>
      <c r="G154" s="116"/>
      <c r="H154" s="116"/>
      <c r="I154" s="113"/>
      <c r="K154" s="7"/>
      <c r="L154" s="7"/>
      <c r="M154" s="8"/>
    </row>
    <row r="155" spans="1:13" x14ac:dyDescent="0.2">
      <c r="A155" s="40"/>
      <c r="B155" s="72" t="s">
        <v>90</v>
      </c>
      <c r="C155" s="122"/>
      <c r="D155" s="122"/>
      <c r="E155" s="125"/>
      <c r="F155" s="116"/>
      <c r="G155" s="116"/>
      <c r="H155" s="116"/>
      <c r="I155" s="113"/>
      <c r="K155" s="7"/>
      <c r="L155" s="7"/>
      <c r="M155" s="8"/>
    </row>
    <row r="156" spans="1:13" x14ac:dyDescent="0.2">
      <c r="A156" s="40"/>
      <c r="B156" s="72" t="s">
        <v>91</v>
      </c>
      <c r="C156" s="122"/>
      <c r="D156" s="122"/>
      <c r="E156" s="125"/>
      <c r="F156" s="116"/>
      <c r="G156" s="116"/>
      <c r="H156" s="116"/>
      <c r="I156" s="113"/>
      <c r="K156" s="7"/>
      <c r="L156" s="7"/>
      <c r="M156" s="8"/>
    </row>
    <row r="157" spans="1:13" x14ac:dyDescent="0.2">
      <c r="A157" s="40"/>
      <c r="B157" s="72" t="s">
        <v>87</v>
      </c>
      <c r="C157" s="122"/>
      <c r="D157" s="122"/>
      <c r="E157" s="125"/>
      <c r="F157" s="116"/>
      <c r="G157" s="116"/>
      <c r="H157" s="116"/>
      <c r="I157" s="113"/>
      <c r="K157" s="7"/>
      <c r="L157" s="7"/>
      <c r="M157" s="8"/>
    </row>
    <row r="158" spans="1:13" x14ac:dyDescent="0.2">
      <c r="A158" s="40"/>
      <c r="B158" s="72" t="s">
        <v>92</v>
      </c>
      <c r="C158" s="122"/>
      <c r="D158" s="122"/>
      <c r="E158" s="125"/>
      <c r="F158" s="116"/>
      <c r="G158" s="116"/>
      <c r="H158" s="116"/>
      <c r="I158" s="113"/>
      <c r="K158" s="7"/>
      <c r="L158" s="7"/>
      <c r="M158" s="8"/>
    </row>
    <row r="159" spans="1:13" x14ac:dyDescent="0.2">
      <c r="A159" s="40"/>
      <c r="B159" s="72" t="s">
        <v>88</v>
      </c>
      <c r="C159" s="122"/>
      <c r="D159" s="122"/>
      <c r="E159" s="125"/>
      <c r="F159" s="116"/>
      <c r="G159" s="116"/>
      <c r="H159" s="116"/>
      <c r="I159" s="113"/>
      <c r="K159" s="7"/>
      <c r="L159" s="7"/>
      <c r="M159" s="8"/>
    </row>
    <row r="160" spans="1:13" x14ac:dyDescent="0.2">
      <c r="A160" s="40"/>
      <c r="B160" s="72" t="s">
        <v>94</v>
      </c>
      <c r="C160" s="123"/>
      <c r="D160" s="123"/>
      <c r="E160" s="126"/>
      <c r="F160" s="117"/>
      <c r="G160" s="117"/>
      <c r="H160" s="117"/>
      <c r="I160" s="114"/>
      <c r="K160" s="7"/>
      <c r="L160" s="7"/>
      <c r="M160" s="8"/>
    </row>
    <row r="161" spans="1:13" x14ac:dyDescent="0.3">
      <c r="A161" s="40"/>
      <c r="B161" s="51"/>
      <c r="C161" s="40"/>
      <c r="D161" s="40"/>
      <c r="E161" s="61"/>
      <c r="F161" s="52"/>
      <c r="G161" s="52"/>
      <c r="H161" s="52"/>
      <c r="I161" s="42"/>
      <c r="K161" s="7"/>
      <c r="L161" s="7"/>
      <c r="M161" s="8"/>
    </row>
    <row r="162" spans="1:13" x14ac:dyDescent="0.3">
      <c r="A162" s="40">
        <v>16</v>
      </c>
      <c r="B162" s="88" t="s">
        <v>146</v>
      </c>
      <c r="C162" s="40">
        <v>35</v>
      </c>
      <c r="D162" s="40" t="s">
        <v>51</v>
      </c>
      <c r="E162" s="61">
        <v>80000</v>
      </c>
      <c r="F162" s="52">
        <f t="shared" ref="F162" si="100">SUM(C162*E162)</f>
        <v>2800000</v>
      </c>
      <c r="G162" s="52">
        <v>6500</v>
      </c>
      <c r="H162" s="52">
        <f t="shared" ref="H162" si="101">SUM(C162*G162)</f>
        <v>227500</v>
      </c>
      <c r="I162" s="42">
        <f>SUM(F162+H162)</f>
        <v>3027500</v>
      </c>
      <c r="K162" s="7"/>
      <c r="L162" s="7"/>
      <c r="M162" s="8"/>
    </row>
    <row r="163" spans="1:13" x14ac:dyDescent="0.3">
      <c r="A163" s="40"/>
      <c r="B163" s="51"/>
      <c r="C163" s="40"/>
      <c r="D163" s="40"/>
      <c r="E163" s="61"/>
      <c r="F163" s="52"/>
      <c r="G163" s="52"/>
      <c r="H163" s="52"/>
      <c r="I163" s="42"/>
      <c r="K163" s="7"/>
      <c r="L163" s="7"/>
      <c r="M163" s="8"/>
    </row>
    <row r="164" spans="1:13" x14ac:dyDescent="0.3">
      <c r="A164" s="40">
        <v>17</v>
      </c>
      <c r="B164" s="88" t="s">
        <v>96</v>
      </c>
      <c r="C164" s="40"/>
      <c r="D164" s="40"/>
      <c r="E164" s="61"/>
      <c r="F164" s="52"/>
      <c r="G164" s="52"/>
      <c r="H164" s="52"/>
      <c r="I164" s="42"/>
      <c r="K164" s="7"/>
      <c r="L164" s="7"/>
      <c r="M164" s="8"/>
    </row>
    <row r="165" spans="1:13" x14ac:dyDescent="0.2">
      <c r="A165" s="40"/>
      <c r="B165" s="72" t="s">
        <v>97</v>
      </c>
      <c r="C165" s="40">
        <v>35</v>
      </c>
      <c r="D165" s="40" t="s">
        <v>51</v>
      </c>
      <c r="E165" s="61">
        <v>1500</v>
      </c>
      <c r="F165" s="52">
        <f t="shared" ref="F165" si="102">SUM(C165*E165)</f>
        <v>52500</v>
      </c>
      <c r="G165" s="52">
        <v>500</v>
      </c>
      <c r="H165" s="52">
        <f t="shared" ref="H165" si="103">SUM(C165*G165)</f>
        <v>17500</v>
      </c>
      <c r="I165" s="42">
        <f t="shared" ref="I165" si="104">SUM(F165+H165)</f>
        <v>70000</v>
      </c>
      <c r="K165" s="89"/>
      <c r="L165" s="7"/>
      <c r="M165" s="8"/>
    </row>
    <row r="166" spans="1:13" x14ac:dyDescent="0.2">
      <c r="A166" s="40"/>
      <c r="B166" s="72"/>
      <c r="C166" s="40"/>
      <c r="D166" s="40"/>
      <c r="E166" s="61"/>
      <c r="F166" s="52"/>
      <c r="G166" s="52"/>
      <c r="H166" s="52"/>
      <c r="I166" s="42"/>
      <c r="K166" s="89"/>
      <c r="L166" s="7"/>
      <c r="M166" s="8"/>
    </row>
    <row r="167" spans="1:13" x14ac:dyDescent="0.3">
      <c r="A167" s="40">
        <v>18</v>
      </c>
      <c r="B167" s="88" t="s">
        <v>149</v>
      </c>
      <c r="C167" s="40"/>
      <c r="D167" s="40"/>
      <c r="E167" s="61"/>
      <c r="F167" s="52"/>
      <c r="G167" s="52"/>
      <c r="H167" s="52"/>
      <c r="I167" s="42"/>
      <c r="K167" s="89"/>
      <c r="L167" s="7"/>
      <c r="M167" s="8"/>
    </row>
    <row r="168" spans="1:13" x14ac:dyDescent="0.2">
      <c r="A168" s="40"/>
      <c r="B168" s="72" t="s">
        <v>150</v>
      </c>
      <c r="C168" s="40">
        <v>3</v>
      </c>
      <c r="D168" s="40" t="s">
        <v>5</v>
      </c>
      <c r="E168" s="61">
        <v>1450000</v>
      </c>
      <c r="F168" s="52">
        <f t="shared" ref="F168" si="105">SUM(C168*E168)</f>
        <v>4350000</v>
      </c>
      <c r="G168" s="52">
        <v>200000</v>
      </c>
      <c r="H168" s="52">
        <f t="shared" ref="H168" si="106">SUM(C168*G168)</f>
        <v>600000</v>
      </c>
      <c r="I168" s="42">
        <f t="shared" ref="I168" si="107">SUM(F168+H168)</f>
        <v>4950000</v>
      </c>
      <c r="K168" s="89"/>
      <c r="L168" s="7"/>
      <c r="M168" s="8"/>
    </row>
    <row r="169" spans="1:13" ht="15" customHeight="1" x14ac:dyDescent="0.3">
      <c r="A169" s="70"/>
      <c r="B169" s="45" t="s">
        <v>76</v>
      </c>
      <c r="C169" s="46"/>
      <c r="D169" s="47"/>
      <c r="E169" s="48"/>
      <c r="F169" s="49"/>
      <c r="G169" s="50"/>
      <c r="H169" s="49"/>
      <c r="I169" s="84">
        <f>SUM(I28:I168)</f>
        <v>35125190</v>
      </c>
      <c r="K169" s="7"/>
      <c r="L169" s="7"/>
      <c r="M169" s="8"/>
    </row>
    <row r="170" spans="1:13" ht="15" customHeight="1" x14ac:dyDescent="0.3">
      <c r="A170" s="36" t="s">
        <v>78</v>
      </c>
      <c r="B170" s="37" t="s">
        <v>80</v>
      </c>
      <c r="C170" s="38"/>
      <c r="D170" s="38"/>
      <c r="E170" s="39"/>
      <c r="F170" s="39"/>
      <c r="G170" s="39"/>
      <c r="H170" s="39"/>
      <c r="I170" s="38"/>
      <c r="K170" s="7"/>
      <c r="L170" s="7"/>
      <c r="M170" s="8"/>
    </row>
    <row r="171" spans="1:13" x14ac:dyDescent="0.3">
      <c r="A171" s="40">
        <v>1</v>
      </c>
      <c r="B171" s="58" t="s">
        <v>147</v>
      </c>
      <c r="C171" s="40">
        <v>3</v>
      </c>
      <c r="D171" s="40" t="s">
        <v>5</v>
      </c>
      <c r="E171" s="61">
        <v>400000</v>
      </c>
      <c r="F171" s="52">
        <f t="shared" ref="F171" si="108">SUM(C171*E171)</f>
        <v>1200000</v>
      </c>
      <c r="G171" s="52">
        <v>200000</v>
      </c>
      <c r="H171" s="52">
        <f t="shared" ref="H171" si="109">SUM(C171*G171)</f>
        <v>600000</v>
      </c>
      <c r="I171" s="42">
        <f t="shared" ref="I171" si="110">SUM(F171+H171)</f>
        <v>1800000</v>
      </c>
      <c r="K171" s="7"/>
      <c r="L171" s="7"/>
      <c r="M171" s="8"/>
    </row>
    <row r="172" spans="1:13" x14ac:dyDescent="0.3">
      <c r="A172" s="40">
        <v>2</v>
      </c>
      <c r="B172" s="58" t="s">
        <v>83</v>
      </c>
      <c r="C172" s="40">
        <v>3</v>
      </c>
      <c r="D172" s="40" t="s">
        <v>5</v>
      </c>
      <c r="E172" s="61">
        <v>20000</v>
      </c>
      <c r="F172" s="52">
        <f t="shared" ref="F172:F176" si="111">SUM(C172*E172)</f>
        <v>60000</v>
      </c>
      <c r="G172" s="52">
        <v>25000</v>
      </c>
      <c r="H172" s="52">
        <f t="shared" ref="H172:H176" si="112">SUM(C172*G172)</f>
        <v>75000</v>
      </c>
      <c r="I172" s="42">
        <f t="shared" ref="I172:I176" si="113">SUM(F172+H172)</f>
        <v>135000</v>
      </c>
      <c r="K172" s="7"/>
      <c r="L172" s="7"/>
      <c r="M172" s="8"/>
    </row>
    <row r="173" spans="1:13" x14ac:dyDescent="0.3">
      <c r="A173" s="40">
        <v>3</v>
      </c>
      <c r="B173" s="58" t="s">
        <v>81</v>
      </c>
      <c r="C173" s="40">
        <v>3</v>
      </c>
      <c r="D173" s="40" t="s">
        <v>5</v>
      </c>
      <c r="E173" s="61">
        <v>100000</v>
      </c>
      <c r="F173" s="52">
        <f t="shared" si="111"/>
        <v>300000</v>
      </c>
      <c r="G173" s="52">
        <v>100000</v>
      </c>
      <c r="H173" s="52">
        <f t="shared" si="112"/>
        <v>300000</v>
      </c>
      <c r="I173" s="42">
        <f t="shared" si="113"/>
        <v>600000</v>
      </c>
      <c r="K173" s="7"/>
      <c r="L173" s="7"/>
      <c r="M173" s="8"/>
    </row>
    <row r="174" spans="1:13" x14ac:dyDescent="0.3">
      <c r="A174" s="40">
        <v>4</v>
      </c>
      <c r="B174" s="58" t="s">
        <v>84</v>
      </c>
      <c r="C174" s="40">
        <v>3</v>
      </c>
      <c r="D174" s="40" t="s">
        <v>5</v>
      </c>
      <c r="E174" s="61">
        <v>20000</v>
      </c>
      <c r="F174" s="52">
        <f t="shared" si="111"/>
        <v>60000</v>
      </c>
      <c r="G174" s="52">
        <v>20000</v>
      </c>
      <c r="H174" s="52">
        <f t="shared" si="112"/>
        <v>60000</v>
      </c>
      <c r="I174" s="42">
        <f t="shared" si="113"/>
        <v>120000</v>
      </c>
      <c r="K174" s="7"/>
      <c r="L174" s="7"/>
      <c r="M174" s="8"/>
    </row>
    <row r="175" spans="1:13" x14ac:dyDescent="0.3">
      <c r="A175" s="40">
        <v>5</v>
      </c>
      <c r="B175" s="58" t="s">
        <v>82</v>
      </c>
      <c r="C175" s="40">
        <v>3</v>
      </c>
      <c r="D175" s="40" t="s">
        <v>5</v>
      </c>
      <c r="E175" s="61">
        <v>15000</v>
      </c>
      <c r="F175" s="52">
        <f t="shared" si="111"/>
        <v>45000</v>
      </c>
      <c r="G175" s="52">
        <v>40000</v>
      </c>
      <c r="H175" s="52">
        <f t="shared" si="112"/>
        <v>120000</v>
      </c>
      <c r="I175" s="42">
        <f t="shared" si="113"/>
        <v>165000</v>
      </c>
      <c r="K175" s="7"/>
      <c r="L175" s="7"/>
      <c r="M175" s="8"/>
    </row>
    <row r="176" spans="1:13" x14ac:dyDescent="0.3">
      <c r="A176" s="40">
        <v>6</v>
      </c>
      <c r="B176" s="58" t="s">
        <v>8</v>
      </c>
      <c r="C176" s="40">
        <v>3</v>
      </c>
      <c r="D176" s="40" t="s">
        <v>5</v>
      </c>
      <c r="E176" s="61">
        <v>300000</v>
      </c>
      <c r="F176" s="52">
        <f t="shared" si="111"/>
        <v>900000</v>
      </c>
      <c r="G176" s="52">
        <v>150000</v>
      </c>
      <c r="H176" s="52">
        <f t="shared" si="112"/>
        <v>450000</v>
      </c>
      <c r="I176" s="42">
        <f t="shared" si="113"/>
        <v>1350000</v>
      </c>
      <c r="K176" s="7"/>
      <c r="L176" s="7"/>
      <c r="M176" s="8"/>
    </row>
    <row r="177" spans="1:13" ht="15" customHeight="1" x14ac:dyDescent="0.3">
      <c r="A177" s="70"/>
      <c r="B177" s="45" t="s">
        <v>79</v>
      </c>
      <c r="C177" s="46"/>
      <c r="D177" s="47"/>
      <c r="E177" s="48"/>
      <c r="F177" s="49"/>
      <c r="G177" s="50"/>
      <c r="H177" s="49"/>
      <c r="I177" s="84">
        <f>SUM(I171:I176)</f>
        <v>4170000</v>
      </c>
      <c r="K177" s="7"/>
      <c r="L177" s="7"/>
      <c r="M177" s="8"/>
    </row>
    <row r="178" spans="1:13" ht="15" customHeight="1" x14ac:dyDescent="0.3">
      <c r="A178" s="71"/>
      <c r="B178" s="74" t="s">
        <v>98</v>
      </c>
      <c r="C178" s="75"/>
      <c r="D178" s="76"/>
      <c r="E178" s="77"/>
      <c r="F178" s="78"/>
      <c r="G178" s="78"/>
      <c r="H178" s="78"/>
      <c r="I178" s="78">
        <f>SUM(I25+I169+I177)</f>
        <v>42965190</v>
      </c>
      <c r="M178" s="10"/>
    </row>
    <row r="179" spans="1:13" ht="15" customHeight="1" x14ac:dyDescent="0.3">
      <c r="A179" s="71"/>
      <c r="B179" s="79" t="s">
        <v>30</v>
      </c>
      <c r="C179" s="40"/>
      <c r="D179" s="40"/>
      <c r="E179" s="60"/>
      <c r="F179" s="60"/>
      <c r="G179" s="60"/>
      <c r="H179" s="60"/>
      <c r="I179" s="78">
        <f>SUM(I178)*(0.12)</f>
        <v>5155822.8</v>
      </c>
      <c r="M179" s="10"/>
    </row>
    <row r="180" spans="1:13" ht="18" customHeight="1" x14ac:dyDescent="0.25">
      <c r="A180" s="66"/>
      <c r="B180" s="80" t="s">
        <v>16</v>
      </c>
      <c r="C180" s="81"/>
      <c r="D180" s="81"/>
      <c r="E180" s="82"/>
      <c r="F180" s="83"/>
      <c r="G180" s="82"/>
      <c r="H180" s="83"/>
      <c r="I180" s="83">
        <f>SUM(I178:I179)</f>
        <v>48121012.799999997</v>
      </c>
      <c r="M180" s="10"/>
    </row>
    <row r="181" spans="1:13" ht="13.8" x14ac:dyDescent="0.3">
      <c r="A181" s="11"/>
      <c r="B181" s="12"/>
      <c r="C181" s="13"/>
      <c r="D181" s="13"/>
      <c r="E181" s="14"/>
      <c r="F181" s="14"/>
      <c r="G181" s="14"/>
      <c r="H181" s="14"/>
      <c r="I181" s="15"/>
      <c r="M181" s="10"/>
    </row>
    <row r="182" spans="1:13" ht="13.5" customHeight="1" x14ac:dyDescent="0.25">
      <c r="A182" s="16"/>
      <c r="B182" s="17"/>
      <c r="C182" s="18"/>
      <c r="D182" s="18"/>
      <c r="E182" s="19"/>
      <c r="F182" s="20"/>
      <c r="G182" s="19"/>
      <c r="H182" s="20"/>
      <c r="I182" s="20"/>
    </row>
    <row r="183" spans="1:13" x14ac:dyDescent="0.3">
      <c r="I183" s="6"/>
    </row>
  </sheetData>
  <mergeCells count="25">
    <mergeCell ref="C152:C160"/>
    <mergeCell ref="D152:D160"/>
    <mergeCell ref="E152:E160"/>
    <mergeCell ref="F152:F160"/>
    <mergeCell ref="E98:F98"/>
    <mergeCell ref="I152:I160"/>
    <mergeCell ref="H152:H160"/>
    <mergeCell ref="E14:H14"/>
    <mergeCell ref="G152:G160"/>
    <mergeCell ref="E104:F104"/>
    <mergeCell ref="E100:F100"/>
    <mergeCell ref="E102:F102"/>
    <mergeCell ref="B1:I1"/>
    <mergeCell ref="B2:I2"/>
    <mergeCell ref="A8:I8"/>
    <mergeCell ref="A10:A11"/>
    <mergeCell ref="B10:B11"/>
    <mergeCell ref="C10:C11"/>
    <mergeCell ref="D10:D11"/>
    <mergeCell ref="E10:F10"/>
    <mergeCell ref="G10:H10"/>
    <mergeCell ref="I10:I11"/>
    <mergeCell ref="G4:H4"/>
    <mergeCell ref="G6:H6"/>
    <mergeCell ref="B5:E5"/>
  </mergeCells>
  <printOptions horizontalCentered="1"/>
  <pageMargins left="0.23622047244094499" right="0.23622047244094499" top="1" bottom="0.75" header="0.31496062992126" footer="0.31496062992126"/>
  <pageSetup paperSize="9" scale="68" orientation="portrait" horizontalDpi="1200" verticalDpi="1200" r:id="rId1"/>
  <headerFooter>
    <oddFooter>&amp;C&amp;P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24" sqref="F2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FIREPRO</vt:lpstr>
      <vt:lpstr>Sheet1</vt:lpstr>
      <vt:lpstr>FIREPRO!Print_Area</vt:lpstr>
      <vt:lpstr>FIREPRO!Print_Titles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Sanares</dc:creator>
  <cp:lastModifiedBy>lyradelosreyes05@outlook.com</cp:lastModifiedBy>
  <cp:lastPrinted>2024-10-29T13:13:48Z</cp:lastPrinted>
  <dcterms:created xsi:type="dcterms:W3CDTF">2017-09-19T08:11:25Z</dcterms:created>
  <dcterms:modified xsi:type="dcterms:W3CDTF">2026-03-10T14:15:32Z</dcterms:modified>
</cp:coreProperties>
</file>